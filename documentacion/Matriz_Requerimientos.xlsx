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F - Funcionales" sheetId="2" state="visible" r:id="rId2"/>
    <sheet xmlns:r="http://schemas.openxmlformats.org/officeDocument/2006/relationships" name="RNF - No Funcionales" sheetId="3" state="visible" r:id="rId3"/>
    <sheet xmlns:r="http://schemas.openxmlformats.org/officeDocument/2006/relationships" name="Resume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FF1F4E79"/>
      <sz val="16"/>
    </font>
    <font>
      <name val="Calibri"/>
      <b val="1"/>
      <color rgb="FF1F4E79"/>
      <sz val="12"/>
    </font>
    <font>
      <name val="Calibri"/>
      <b val="1"/>
      <color rgb="FF1F4E79"/>
      <sz val="11"/>
    </font>
    <font>
      <name val="Calibri"/>
      <i val="1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</fonts>
  <fills count="3">
    <fill>
      <patternFill/>
    </fill>
    <fill>
      <patternFill patternType="gray125"/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right" vertical="center" wrapText="1" indent="1" readingOrder="1"/>
    </xf>
    <xf numFmtId="0" fontId="6" fillId="0" borderId="2" applyAlignment="1" pivotButton="0" quotePrefix="0" xfId="0">
      <alignment horizontal="right" vertical="center" wrapText="1" indent="1" readingOrder="1"/>
    </xf>
    <xf numFmtId="0" fontId="5" fillId="0" borderId="3" applyAlignment="1" pivotButton="0" quotePrefix="0" xfId="0">
      <alignment vertical="center" wrapText="1" readingOrder="1"/>
    </xf>
    <xf numFmtId="0" fontId="6" fillId="0" borderId="7" applyAlignment="1" pivotButton="0" quotePrefix="0" xfId="0">
      <alignment horizontal="right" vertical="center" wrapText="1" indent="1" readingOrder="1"/>
    </xf>
    <xf numFmtId="0" fontId="5" fillId="0" borderId="8" applyAlignment="1" pivotButton="0" quotePrefix="0" xfId="0">
      <alignment horizontal="right" vertical="center" wrapText="1" indent="1" readingOrder="1"/>
    </xf>
    <xf numFmtId="0" fontId="5" fillId="0" borderId="9" applyAlignment="1" pivotButton="0" quotePrefix="0" xfId="0">
      <alignment vertical="center" wrapText="1" readingOrder="1"/>
    </xf>
    <xf numFmtId="0" fontId="6" fillId="0" borderId="4" applyAlignment="1" pivotButton="0" quotePrefix="0" xfId="0">
      <alignment horizontal="center" vertical="center" wrapText="1" readingOrder="1"/>
    </xf>
    <xf numFmtId="0" fontId="6" fillId="0" borderId="5" applyAlignment="1" pivotButton="0" quotePrefix="0" xfId="0">
      <alignment horizontal="center" vertical="center" wrapText="1" readingOrder="1"/>
    </xf>
    <xf numFmtId="0" fontId="6" fillId="0" borderId="6" applyAlignment="1" pivotButton="0" quotePrefix="0" xfId="0">
      <alignment horizontal="center" vertical="center" wrapText="1" readingOrder="1"/>
    </xf>
    <xf numFmtId="164" fontId="5" fillId="0" borderId="1" applyAlignment="1" pivotButton="0" quotePrefix="0" xfId="0">
      <alignment horizontal="right" vertical="center" wrapText="1" indent="1" readingOrder="1"/>
    </xf>
    <xf numFmtId="164" fontId="5" fillId="0" borderId="8" applyAlignment="1" pivotButton="0" quotePrefix="0" xfId="0">
      <alignment horizontal="right" vertical="center" wrapText="1" indent="1" readingOrder="1"/>
    </xf>
    <xf numFmtId="0" fontId="6" fillId="0" borderId="2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</cellXfs>
  <cellStyles count="1">
    <cellStyle name="Normal" xfId="0" builtinId="0"/>
  </cellStyles>
  <dxfs count="27"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numFmt numFmtId="168" formatCode="0.0"/>
      <alignment horizontal="right" vertical="center" wrapText="1" indent="1" readingOrder="1"/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general" vertical="center" wrapText="1" readingOrder="1"/>
      <border outline="0">
        <left style="medium">
          <color rgb="FF000000"/>
        </left>
        <right/>
        <top style="medium">
          <color rgb="FF000000"/>
        </top>
        <bottom style="medium">
          <color rgb="FF000000"/>
        </bottom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1"/>
        <vertAlign val="baseline"/>
      </font>
      <alignment horizontal="center" vertical="center" wrapText="1" readingOrder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 outline="0">
        <left style="medium">
          <color rgb="FF000000"/>
        </left>
        <right style="medium">
          <color rgb="FF000000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general" vertical="center" wrapText="1" readingOrder="1"/>
      <border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1"/>
        <vertAlign val="baseline"/>
      </font>
      <alignment horizontal="right" vertical="center" wrapText="1" inden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1" displayName="Table1" ref="A1:H9" headerRowCount="1" totalsRowShown="0" headerRowDxfId="14" dataDxfId="15" headerRowBorderDxfId="25" tableBorderDxfId="26" totalsRowBorderDxfId="24">
  <autoFilter ref="A1:H8"/>
  <tableColumns count="8">
    <tableColumn id="1" name="ID" dataDxfId="23"/>
    <tableColumn id="2" name="Descripción" dataDxfId="22"/>
    <tableColumn id="3" name="Criterio de Aceptación" dataDxfId="21"/>
    <tableColumn id="4" name="Prioridad" dataDxfId="20"/>
    <tableColumn id="5" name="Fuente" dataDxfId="19"/>
    <tableColumn id="6" name="Estado" dataDxfId="18"/>
    <tableColumn id="7" name="Versión" dataDxfId="17"/>
    <tableColumn id="8" name="Notas" dataDxfId="1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I6" headerRowCount="1" totalsRowShown="0" headerRowDxfId="3" dataDxfId="4" headerRowBorderDxfId="12" tableBorderDxfId="13" totalsRowBorderDxfId="11">
  <autoFilter ref="A1:I5"/>
  <tableColumns count="9">
    <tableColumn id="1" name="ID" dataDxfId="10"/>
    <tableColumn id="2" name="Categoría" dataDxfId="9"/>
    <tableColumn id="3" name="Descripción" dataDxfId="8"/>
    <tableColumn id="4" name="Criterio de Aceptación" dataDxfId="7"/>
    <tableColumn id="5" name="Prioridad" dataDxfId="6"/>
    <tableColumn id="6" name="Fuente" dataDxfId="5"/>
    <tableColumn id="7" name="Estado" dataDxfId="2"/>
    <tableColumn id="8" name="Versión" dataDxfId="0"/>
    <tableColumn id="9" name="Nota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:H1"/>
    </sheetView>
  </sheetViews>
  <sheetFormatPr baseColWidth="8" defaultRowHeight="15"/>
  <cols>
    <col width="120" customWidth="1" style="6" min="1" max="1"/>
  </cols>
  <sheetData>
    <row r="1" ht="21" customHeight="1" s="6">
      <c r="A1" s="5" t="inlineStr">
        <is>
          <t>MATRIZ DE REQUERIMIENTOS - INSTRUCCIONES DE USO</t>
        </is>
      </c>
    </row>
    <row r="3" ht="15.75" customHeight="1" s="6">
      <c r="A3" s="1" t="inlineStr">
        <is>
          <t>Propósito de esta matriz</t>
        </is>
      </c>
    </row>
    <row r="4" ht="30" customHeight="1" s="6">
      <c r="A4" s="2" t="inlineStr">
        <is>
          <t>Esta matriz les permite documentar, priorizar y dar seguimiento a los requerimientos identificados en las entrevistas con el cliente.</t>
        </is>
      </c>
    </row>
    <row r="5" ht="30" customHeight="1" s="6">
      <c r="A5" s="2" t="inlineStr">
        <is>
          <t>La matriz está diseñada para refinamiento iterativo: pueden ir agregando y modificando requerimientos conforme avanzan las entrevistas.</t>
        </is>
      </c>
    </row>
    <row r="7">
      <c r="A7" s="3" t="inlineStr">
        <is>
          <t>Cómo usar esta plantilla:</t>
        </is>
      </c>
    </row>
    <row r="8">
      <c r="A8" s="2" t="inlineStr">
        <is>
          <t>1. Vayan a la pestaña 'RF - Requerimientos Funcionales' y documenten todos los requerimientos funcionales identificados.</t>
        </is>
      </c>
    </row>
    <row r="9">
      <c r="A9" s="2" t="inlineStr">
        <is>
          <t>2. Vayan a la pestaña 'RNF - Requerimientos No Funcionales' y documenten los no funcionales.</t>
        </is>
      </c>
    </row>
    <row r="10">
      <c r="A10" s="2" t="inlineStr">
        <is>
          <t>3. La pestaña 'Resumen' se actualiza automáticamente con estadísticas.</t>
        </is>
      </c>
    </row>
    <row r="11">
      <c r="A11" s="2" t="inlineStr">
        <is>
          <t>4. Usen los filtros de las columnas para ordenar por prioridad, estado, etc.</t>
        </is>
      </c>
    </row>
    <row r="13">
      <c r="A13" s="3" t="inlineStr">
        <is>
          <t>Descripción de columnas:</t>
        </is>
      </c>
    </row>
    <row r="15">
      <c r="A15" s="2" t="inlineStr">
        <is>
          <t>ID: Identificador único. Formato: RF-01, RF-02... para funcionales; RNF-01, RNF-02... para no funcionales.</t>
        </is>
      </c>
    </row>
    <row r="16">
      <c r="A16" s="2" t="inlineStr">
        <is>
          <t>Descripción: Redactar en formato 'El sistema debe...' Ser específico y claro.</t>
        </is>
      </c>
    </row>
    <row r="17">
      <c r="A17" s="2" t="inlineStr">
        <is>
          <t>Criterio de aceptación: ¿Cómo sabemos que el requerimiento está cumplido? OBLIGATORIO para Must-have.</t>
        </is>
      </c>
    </row>
    <row r="18">
      <c r="A18" s="2" t="inlineStr">
        <is>
          <t>Prioridad: Usar metodología MoSCoW:</t>
        </is>
      </c>
    </row>
    <row r="19">
      <c r="A19" s="2" t="inlineStr">
        <is>
          <t xml:space="preserve">  • Must have: Sin esto, el sistema no tiene sentido</t>
        </is>
      </c>
    </row>
    <row r="20">
      <c r="A20" s="2" t="inlineStr">
        <is>
          <t xml:space="preserve">  • Should have: Muy importante, pero no crítico para primera versión</t>
        </is>
      </c>
    </row>
    <row r="21">
      <c r="A21" s="2" t="inlineStr">
        <is>
          <t xml:space="preserve">  • Could have: Deseable si hay tiempo/presupuesto</t>
        </is>
      </c>
    </row>
    <row r="22">
      <c r="A22" s="2" t="inlineStr">
        <is>
          <t xml:space="preserve">  • Won't have: Fuera de alcance en esta versión</t>
        </is>
      </c>
    </row>
    <row r="23">
      <c r="A23" s="2" t="inlineStr">
        <is>
          <t>Fuente: ¿Quién solicitó este requerimiento? (nombre del stakeholder o rol)</t>
        </is>
      </c>
    </row>
    <row r="24">
      <c r="A24" s="2" t="inlineStr">
        <is>
          <t>Estado: Evolución del requerimiento:</t>
        </is>
      </c>
    </row>
    <row r="25">
      <c r="A25" s="2" t="inlineStr">
        <is>
          <t xml:space="preserve">  • Propuesto: Identificado en entrevista, pendiente de análisis</t>
        </is>
      </c>
    </row>
    <row r="26">
      <c r="A26" s="2" t="inlineStr">
        <is>
          <t xml:space="preserve">  • En revisión: El equipo lo está analizando/refinando</t>
        </is>
      </c>
    </row>
    <row r="27">
      <c r="A27" s="2" t="inlineStr">
        <is>
          <t xml:space="preserve">  • Validado internamente: El equipo confirma que es correcto</t>
        </is>
      </c>
    </row>
    <row r="28">
      <c r="A28" s="2" t="inlineStr">
        <is>
          <t xml:space="preserve">  • Validado con cliente: El cliente lo aprobó</t>
        </is>
      </c>
    </row>
    <row r="29">
      <c r="A29" s="2" t="inlineStr">
        <is>
          <t xml:space="preserve">  • Rechazado: Se decidió no incluirlo (explicar en Notas)</t>
        </is>
      </c>
    </row>
    <row r="30">
      <c r="A30" s="2" t="inlineStr">
        <is>
          <t>Versión: Número de versión del requerimiento (empieza en 1.0, si lo modifican pasa a 1.1, etc.)</t>
        </is>
      </c>
    </row>
    <row r="31">
      <c r="A31" s="2" t="inlineStr">
        <is>
          <t>Notas: Comentarios, dependencias con otros requerimientos, aclaraciones.</t>
        </is>
      </c>
    </row>
    <row r="33">
      <c r="A33" s="3" t="inlineStr">
        <is>
          <t>Errores comunes a evitar:</t>
        </is>
      </c>
    </row>
    <row r="34">
      <c r="A34" s="2" t="inlineStr">
        <is>
          <t>❌ Requerimientos ambiguos: 'El sistema debe ser rápido' → ✅ 'El sistema debe responder en menos de 2 segundos'</t>
        </is>
      </c>
    </row>
    <row r="35">
      <c r="A35" s="2" t="inlineStr">
        <is>
          <t>❌ Soluciones disfrazadas de requerimientos: 'Debe usar MySQL' → ✅ 'Debe almacenar datos de forma persistente'</t>
        </is>
      </c>
    </row>
    <row r="36">
      <c r="A36" s="2" t="inlineStr">
        <is>
          <t>❌ Requerimientos sin criterio de aceptación para Must-have → ✅ Siempre definir cómo validar</t>
        </is>
      </c>
    </row>
    <row r="37">
      <c r="A37" s="2" t="inlineStr">
        <is>
          <t>❌ No indicar fuente → ✅ Rastrear quién lo pidió</t>
        </is>
      </c>
    </row>
    <row r="39">
      <c r="A39" s="2" t="inlineStr">
        <is>
          <t>¡Éxito documentando sus requerimientos! 🚀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K12" sqref="K12"/>
    </sheetView>
  </sheetViews>
  <sheetFormatPr baseColWidth="8" defaultRowHeight="15"/>
  <cols>
    <col width="12" customWidth="1" style="6" min="1" max="1"/>
    <col width="68" customWidth="1" style="6" min="2" max="2"/>
    <col width="72" customWidth="1" style="6" min="3" max="3"/>
    <col width="16" customWidth="1" style="6" min="4" max="4"/>
    <col width="28" customWidth="1" style="6" min="5" max="6"/>
    <col width="24" customWidth="1" style="6" min="6" max="6"/>
    <col width="10" customWidth="1" style="6" min="7" max="7"/>
    <col width="36" customWidth="1" style="6" min="8" max="8"/>
  </cols>
  <sheetData>
    <row r="1" ht="15.75" customHeight="1" s="6" thickBot="1">
      <c r="A1" s="14" t="inlineStr">
        <is>
          <t>ID</t>
        </is>
      </c>
      <c r="B1" s="15" t="inlineStr">
        <is>
          <t>Descripción</t>
        </is>
      </c>
      <c r="C1" s="15" t="inlineStr">
        <is>
          <t>Criterio de Aceptación</t>
        </is>
      </c>
      <c r="D1" s="15" t="inlineStr">
        <is>
          <t>Prioridad</t>
        </is>
      </c>
      <c r="E1" s="15" t="inlineStr">
        <is>
          <t>Fuente</t>
        </is>
      </c>
      <c r="F1" s="15" t="inlineStr">
        <is>
          <t>Estado</t>
        </is>
      </c>
      <c r="G1" s="15" t="inlineStr">
        <is>
          <t>Versión</t>
        </is>
      </c>
      <c r="H1" s="16" t="inlineStr">
        <is>
          <t>Notas</t>
        </is>
      </c>
    </row>
    <row r="2" ht="57.75" customHeight="1" s="6" thickBot="1">
      <c r="A2" s="19" t="inlineStr">
        <is>
          <t>RF-01</t>
        </is>
      </c>
      <c r="B2" s="20" t="inlineStr">
        <is>
          <t>El sistema debe mostrar un monitor de signos vitales con valores base de FC, FR, SpO2, PA y temperatura, incluyendo visualización 2D y 3D.</t>
        </is>
      </c>
      <c r="C2" s="20" t="inlineStr">
        <is>
          <t>Al abrir un caso clínico, el alumno visualiza los signos vitales definidos por el docente y puede alternar entre monitor 2D y 3D sin perder el flujo de la simulación.</t>
        </is>
      </c>
      <c r="D2" s="20" t="inlineStr">
        <is>
          <t>Must have</t>
        </is>
      </c>
      <c r="E2" s="20" t="inlineStr">
        <is>
          <t>Cliente (Mtra. Mariely) / Prototipo PulseLab</t>
        </is>
      </c>
      <c r="F2" s="20" t="inlineStr">
        <is>
          <t>Validado con cliente</t>
        </is>
      </c>
      <c r="G2" s="21" t="n">
        <v>2</v>
      </c>
      <c r="H2" s="22" t="inlineStr">
        <is>
          <t>Implementado en sesión de caso con Three.js para vista 3D.</t>
        </is>
      </c>
    </row>
    <row r="3" ht="57.75" customHeight="1" s="6" thickBot="1">
      <c r="A3" s="19" t="inlineStr">
        <is>
          <t>RF-02</t>
        </is>
      </c>
      <c r="B3" s="20" t="inlineStr">
        <is>
          <t>El sistema debe permitir la resolución de casos clínicos mediante preguntas de opción múltiple con cuatro opciones.</t>
        </is>
      </c>
      <c r="C3" s="20" t="inlineStr">
        <is>
          <t>El alumno puede seleccionar una opción A, B, C o D, confirmar su respuesta y el sistema registra si fue correcta o incorrecta.</t>
        </is>
      </c>
      <c r="D3" s="20" t="inlineStr">
        <is>
          <t>Must have</t>
        </is>
      </c>
      <c r="E3" s="20" t="inlineStr">
        <is>
          <t>Cliente (Mtra. Mariely)</t>
        </is>
      </c>
      <c r="F3" s="20" t="inlineStr">
        <is>
          <t>Validado con cliente</t>
        </is>
      </c>
      <c r="G3" s="21" t="n">
        <v>2</v>
      </c>
      <c r="H3" s="22" t="inlineStr">
        <is>
          <t>Implementado en la pantalla de sesión del caso.</t>
        </is>
      </c>
    </row>
    <row r="4" ht="57.75" customHeight="1" s="6" thickBot="1">
      <c r="A4" s="19" t="inlineStr">
        <is>
          <t>RF-03</t>
        </is>
      </c>
      <c r="B4" s="20" t="inlineStr">
        <is>
          <t>El sistema debe mostrar retroalimentación textual después de cada respuesta del alumno.</t>
        </is>
      </c>
      <c r="C4" s="20" t="inlineStr">
        <is>
          <t>Después de confirmar una respuesta, el sistema muestra si fue correcta o incorrecta y despliega la justificación clínica registrada por el docente.</t>
        </is>
      </c>
      <c r="D4" s="20" t="inlineStr">
        <is>
          <t>Must have</t>
        </is>
      </c>
      <c r="E4" s="20" t="inlineStr">
        <is>
          <t>Cliente (Mtra. Mariely)</t>
        </is>
      </c>
      <c r="F4" s="20" t="inlineStr">
        <is>
          <t>Validado con cliente</t>
        </is>
      </c>
      <c r="G4" s="21" t="n">
        <v>2</v>
      </c>
      <c r="H4" s="22" t="inlineStr">
        <is>
          <t>La retroalimentación se muestra durante la sesión y en el resumen final.</t>
        </is>
      </c>
    </row>
    <row r="5" ht="57.75" customHeight="1" s="6" thickBot="1">
      <c r="A5" s="19" t="inlineStr">
        <is>
          <t>RF-04</t>
        </is>
      </c>
      <c r="B5" s="20" t="inlineStr">
        <is>
          <t>El sistema debe permitir inicio de sesión con Google y acceso diferenciado para docente y alumno.</t>
        </is>
      </c>
      <c r="C5" s="20" t="inlineStr">
        <is>
          <t>Al iniciar sesión, el sistema identifica el rol del usuario y lo dirige a la vista correspondiente: docente o alumno.</t>
        </is>
      </c>
      <c r="D5" s="20" t="inlineStr">
        <is>
          <t>Must have</t>
        </is>
      </c>
      <c r="E5" s="20" t="inlineStr">
        <is>
          <t>Equipo PulseLab</t>
        </is>
      </c>
      <c r="F5" s="20" t="inlineStr">
        <is>
          <t>Validado internamente</t>
        </is>
      </c>
      <c r="G5" s="21" t="n">
        <v>2</v>
      </c>
      <c r="H5" s="22" t="inlineStr">
        <is>
          <t>Implementado con Firebase Authentication y control de roles en Firestore.</t>
        </is>
      </c>
    </row>
    <row r="6" ht="72" customHeight="1" s="6" thickBot="1">
      <c r="A6" s="19" t="inlineStr">
        <is>
          <t>RF-05</t>
        </is>
      </c>
      <c r="B6" s="20" t="inlineStr">
        <is>
          <t>El sistema debe incluir elementos de gamificación como tiempo límite y comodín 50/50.</t>
        </is>
      </c>
      <c r="C6" s="20" t="inlineStr">
        <is>
          <t>Durante un caso con tiempo definido se muestra un temporizador; el alumno puede usar una sola vez el comodín 50/50 para eliminar dos opciones incorrectas.</t>
        </is>
      </c>
      <c r="D6" s="20" t="inlineStr">
        <is>
          <t>Should have</t>
        </is>
      </c>
      <c r="E6" s="20" t="inlineStr">
        <is>
          <t>Cliente (Mtra. Mariely)</t>
        </is>
      </c>
      <c r="F6" s="20" t="inlineStr">
        <is>
          <t>Validado con cliente</t>
        </is>
      </c>
      <c r="G6" s="21" t="n">
        <v>2</v>
      </c>
      <c r="H6" s="22" t="inlineStr">
        <is>
          <t>Implementado como apoyo pedagógico durante la simulación.</t>
        </is>
      </c>
    </row>
    <row r="7" ht="43.5" customHeight="1" s="6" thickBot="1">
      <c r="A7" s="19" t="inlineStr">
        <is>
          <t>RF-06</t>
        </is>
      </c>
      <c r="B7" s="20" t="inlineStr">
        <is>
          <t>El sistema debe permitir al docente crear, editar, publicar, despublicar y eliminar casos clínicos.</t>
        </is>
      </c>
      <c r="C7" s="20" t="inlineStr">
        <is>
          <t>El perfil docente puede administrar el banco de casos y guardar la información clínica, signos vitales, duración y preguntas del caso.</t>
        </is>
      </c>
      <c r="D7" s="20" t="inlineStr">
        <is>
          <t>Must have</t>
        </is>
      </c>
      <c r="E7" s="20" t="inlineStr">
        <is>
          <t>Cliente (Mtra. Mariely)</t>
        </is>
      </c>
      <c r="F7" s="20" t="inlineStr">
        <is>
          <t>Validado con cliente</t>
        </is>
      </c>
      <c r="G7" s="21" t="n">
        <v>2</v>
      </c>
      <c r="H7" s="22" t="inlineStr">
        <is>
          <t>CRUD implementado en banco de casos y editor.</t>
        </is>
      </c>
    </row>
    <row r="8" ht="57" customHeight="1" s="6">
      <c r="A8" s="19" t="inlineStr">
        <is>
          <t>RF-07</t>
        </is>
      </c>
      <c r="B8" s="20" t="inlineStr">
        <is>
          <t>El sistema debe generar reportes de resultados individuales y grupales para el perfil docente.</t>
        </is>
      </c>
      <c r="C8" s="20" t="inlineStr">
        <is>
          <t>El docente puede consultar resultados por alumno y caso, filtrar registros, visualizar métricas y exportar los datos en CSV.</t>
        </is>
      </c>
      <c r="D8" s="20" t="inlineStr">
        <is>
          <t>Must have</t>
        </is>
      </c>
      <c r="E8" s="20" t="inlineStr">
        <is>
          <t>Cliente (Mtra. Mariely)</t>
        </is>
      </c>
      <c r="F8" s="20" t="inlineStr">
        <is>
          <t>Validado con cliente</t>
        </is>
      </c>
      <c r="G8" s="21" t="n">
        <v>2</v>
      </c>
      <c r="H8" s="22" t="inlineStr">
        <is>
          <t>Incluye tabla, filtros, resumen y exportación.</t>
        </is>
      </c>
    </row>
    <row r="9">
      <c r="A9" s="19" t="inlineStr">
        <is>
          <t>RF-08</t>
        </is>
      </c>
      <c r="B9" s="20" t="inlineStr">
        <is>
          <t>El sistema debe permitir la gestión de usuarios docentes y estudiantes.</t>
        </is>
      </c>
      <c r="C9" s="20" t="inlineStr">
        <is>
          <t>El perfil docente administrador puede registrar estudiantes, invitar docentes, activar o desactivar alumnos y eliminar registros cuando sea necesario.</t>
        </is>
      </c>
      <c r="D9" s="20" t="inlineStr">
        <is>
          <t>Should have</t>
        </is>
      </c>
      <c r="E9" s="20" t="inlineStr">
        <is>
          <t>Equipo PulseLab</t>
        </is>
      </c>
      <c r="F9" s="20" t="inlineStr">
        <is>
          <t>Validado internamente</t>
        </is>
      </c>
      <c r="G9" s="21" t="n">
        <v>2</v>
      </c>
      <c r="H9" s="22" t="inlineStr">
        <is>
          <t>Implementado en gestión de usuarios.</t>
        </is>
      </c>
    </row>
    <row r="10"/>
    <row r="11"/>
    <row r="12"/>
    <row r="13"/>
    <row r="14"/>
    <row r="15"/>
    <row r="16"/>
    <row r="17"/>
    <row r="18"/>
  </sheetData>
  <dataValidations count="2">
    <dataValidation sqref="D9:D100 E9:E100" showDropDown="0" showInputMessage="0" showErrorMessage="0" allowBlank="0" type="list">
      <formula1>"Must have,Should have,Could have,Won't have"</formula1>
    </dataValidation>
    <dataValidation sqref="F9:F100 G9:G100" showDropDown="0" showInputMessage="0" showErrorMessage="0" allowBlank="0" type="list">
      <formula1>"Propuesto,En revisión,Validado internamente,Validado con cliente,Rechazado"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H2" sqref="H2:H5"/>
    </sheetView>
  </sheetViews>
  <sheetFormatPr baseColWidth="8" defaultRowHeight="15"/>
  <cols>
    <col width="12" customWidth="1" style="6" min="1" max="1"/>
    <col width="18" customWidth="1" style="6" min="2" max="2"/>
    <col width="64" customWidth="1" style="6" min="3" max="3"/>
    <col width="72" customWidth="1" style="6" min="4" max="4"/>
    <col width="16" customWidth="1" style="6" min="5" max="5"/>
    <col width="28" customWidth="1" style="6" min="6" max="7"/>
    <col width="24" customWidth="1" style="6" min="7" max="7"/>
    <col width="10" customWidth="1" style="6" min="8" max="8"/>
    <col width="36" customWidth="1" style="6" min="9" max="9"/>
  </cols>
  <sheetData>
    <row r="1" ht="15.75" customHeight="1" s="6" thickBot="1">
      <c r="A1" s="14" t="inlineStr">
        <is>
          <t>ID</t>
        </is>
      </c>
      <c r="B1" s="15" t="inlineStr">
        <is>
          <t>Categoría</t>
        </is>
      </c>
      <c r="C1" s="15" t="inlineStr">
        <is>
          <t>Descripción</t>
        </is>
      </c>
      <c r="D1" s="15" t="inlineStr">
        <is>
          <t>Criterio de Aceptación</t>
        </is>
      </c>
      <c r="E1" s="15" t="inlineStr">
        <is>
          <t>Prioridad</t>
        </is>
      </c>
      <c r="F1" s="15" t="inlineStr">
        <is>
          <t>Fuente</t>
        </is>
      </c>
      <c r="G1" s="15" t="inlineStr">
        <is>
          <t>Estado</t>
        </is>
      </c>
      <c r="H1" s="15" t="inlineStr">
        <is>
          <t>Versión</t>
        </is>
      </c>
      <c r="I1" s="16" t="inlineStr">
        <is>
          <t>Notas</t>
        </is>
      </c>
    </row>
    <row r="2" ht="72" customHeight="1" s="6" thickBot="1">
      <c r="A2" s="19" t="inlineStr">
        <is>
          <t>RNF-01</t>
        </is>
      </c>
      <c r="B2" s="20" t="inlineStr">
        <is>
          <t>Usabilidad</t>
        </is>
      </c>
      <c r="C2" s="20" t="inlineStr">
        <is>
          <t>El sistema debe tener una interfaz intuitiva para estudiantes de enfermería sin experiencia técnica.</t>
        </is>
      </c>
      <c r="D2" s="20" t="inlineStr">
        <is>
          <t>Un usuario nuevo puede iniciar sesión, seleccionar un caso y completar la simulación sin requerir instrucciones externas.</t>
        </is>
      </c>
      <c r="E2" s="20" t="inlineStr">
        <is>
          <t>Must have</t>
        </is>
      </c>
      <c r="F2" s="20" t="inlineStr">
        <is>
          <t>Cliente (Mtra. Mariely)</t>
        </is>
      </c>
      <c r="G2" s="20" t="inlineStr">
        <is>
          <t>Validado con cliente</t>
        </is>
      </c>
      <c r="H2" s="21" t="n">
        <v>2</v>
      </c>
      <c r="I2" s="22" t="inlineStr">
        <is>
          <t>Interfaz organizada por rol y flujo guiado.</t>
        </is>
      </c>
    </row>
    <row r="3" ht="72" customHeight="1" s="6" thickBot="1">
      <c r="A3" s="19" t="inlineStr">
        <is>
          <t>RNF-02</t>
        </is>
      </c>
      <c r="B3" s="20" t="inlineStr">
        <is>
          <t>Persistencia</t>
        </is>
      </c>
      <c r="C3" s="20" t="inlineStr">
        <is>
          <t>El sistema debe conservar casos, usuarios y resultados en una base de datos en la nube.</t>
        </is>
      </c>
      <c r="D3" s="20" t="inlineStr">
        <is>
          <t>Al cerrar sesión y volver a entrar desde otro dispositivo, los casos, usuarios y reportes permanecen disponibles.</t>
        </is>
      </c>
      <c r="E3" s="20" t="inlineStr">
        <is>
          <t>Must have</t>
        </is>
      </c>
      <c r="F3" s="20" t="inlineStr">
        <is>
          <t>Equipo PulseLab</t>
        </is>
      </c>
      <c r="G3" s="20" t="inlineStr">
        <is>
          <t>Validado internamente</t>
        </is>
      </c>
      <c r="H3" s="21" t="n">
        <v>2</v>
      </c>
      <c r="I3" s="22" t="inlineStr">
        <is>
          <t>Implementado con Cloud Firestore.</t>
        </is>
      </c>
    </row>
    <row r="4" ht="57.75" customHeight="1" s="6" thickBot="1">
      <c r="A4" s="19" t="inlineStr">
        <is>
          <t>RNF-03</t>
        </is>
      </c>
      <c r="B4" s="20" t="inlineStr">
        <is>
          <t>Disponibilidad</t>
        </is>
      </c>
      <c r="C4" s="20" t="inlineStr">
        <is>
          <t>El sistema debe ser accesible desde navegadores web estándar sin instalación adicional.</t>
        </is>
      </c>
      <c r="D4" s="20" t="inlineStr">
        <is>
          <t>La aplicación carga desde la URL pública de Firebase Hosting en Chrome o Edge.</t>
        </is>
      </c>
      <c r="E4" s="20" t="inlineStr">
        <is>
          <t>Must have</t>
        </is>
      </c>
      <c r="F4" s="20" t="inlineStr">
        <is>
          <t>Equipo PulseLab</t>
        </is>
      </c>
      <c r="G4" s="20" t="inlineStr">
        <is>
          <t>Validado internamente</t>
        </is>
      </c>
      <c r="H4" s="21" t="n">
        <v>2</v>
      </c>
      <c r="I4" s="22" t="inlineStr">
        <is>
          <t>Prototipo desplegado en Firebase Hosting.</t>
        </is>
      </c>
    </row>
    <row r="5" ht="57" customHeight="1" s="6">
      <c r="A5" s="19" t="inlineStr">
        <is>
          <t>RNF-04</t>
        </is>
      </c>
      <c r="B5" s="20" t="inlineStr">
        <is>
          <t>Portabilidad</t>
        </is>
      </c>
      <c r="C5" s="20" t="inlineStr">
        <is>
          <t>El sistema debe visualizarse correctamente en computadoras, tablets y pantallas medianas.</t>
        </is>
      </c>
      <c r="D5" s="20" t="inlineStr">
        <is>
          <t>Los elementos principales del sistema no se solapan y el monitor de signos vitales conserva legibilidad en vistas responsivas.</t>
        </is>
      </c>
      <c r="E5" s="20" t="inlineStr">
        <is>
          <t>Should have</t>
        </is>
      </c>
      <c r="F5" s="20" t="inlineStr">
        <is>
          <t>Equipo PulseLab</t>
        </is>
      </c>
      <c r="G5" s="20" t="inlineStr">
        <is>
          <t>Validado internamente</t>
        </is>
      </c>
      <c r="H5" s="21" t="n">
        <v>2</v>
      </c>
      <c r="I5" s="22" t="inlineStr">
        <is>
          <t>Interfaz responsive con Tailwind CSS.</t>
        </is>
      </c>
    </row>
    <row r="6">
      <c r="A6" s="19" t="inlineStr">
        <is>
          <t>RNF-05</t>
        </is>
      </c>
      <c r="B6" s="20" t="inlineStr">
        <is>
          <t>Seguridad</t>
        </is>
      </c>
      <c r="C6" s="20" t="inlineStr">
        <is>
          <t>El sistema debe proteger el acceso mediante autenticación y permisos por rol.</t>
        </is>
      </c>
      <c r="D6" s="20" t="inlineStr">
        <is>
          <t>Solo usuarios autenticados pueden acceder a la app; las funciones docentes quedan restringidas al rol correspondiente.</t>
        </is>
      </c>
      <c r="E6" s="20" t="inlineStr">
        <is>
          <t>Must have</t>
        </is>
      </c>
      <c r="F6" s="20" t="inlineStr">
        <is>
          <t>Equipo PulseLab</t>
        </is>
      </c>
      <c r="G6" s="20" t="inlineStr">
        <is>
          <t>Validado internamente</t>
        </is>
      </c>
      <c r="H6" s="21" t="n">
        <v>2</v>
      </c>
      <c r="I6" s="22" t="inlineStr">
        <is>
          <t>Implementado con Firebase Auth, Firestore y reglas de seguridad.</t>
        </is>
      </c>
    </row>
    <row r="7"/>
    <row r="8"/>
    <row r="9"/>
    <row r="10"/>
    <row r="11"/>
    <row r="12"/>
    <row r="13"/>
    <row r="14"/>
    <row r="15"/>
  </sheetData>
  <dataValidations count="3">
    <dataValidation sqref="B6:B100" showDropDown="0" showInputMessage="0" showErrorMessage="0" allowBlank="0" type="list">
      <formula1>"Usabilidad,Rendimiento,Seguridad,Confiabilidad,Portabilidad,Mantenibilidad,Disponibilidad"</formula1>
    </dataValidation>
    <dataValidation sqref="D6:D100 E6:E100" showDropDown="0" showInputMessage="0" showErrorMessage="0" allowBlank="0" type="list">
      <formula1>"Must have,Should have,Could have,Won't have"</formula1>
    </dataValidation>
    <dataValidation sqref="F6:F100 G6:G100" showDropDown="0" showInputMessage="0" showErrorMessage="0" allowBlank="0" type="list">
      <formula1>"Propuesto,En revisión,Validado internamente,Validado con cliente,Rechazado"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tabSelected="1" workbookViewId="0">
      <selection activeCell="G14" sqref="G14"/>
    </sheetView>
  </sheetViews>
  <sheetFormatPr baseColWidth="8" defaultRowHeight="15"/>
  <cols>
    <col width="40" customWidth="1" style="6" min="1" max="1"/>
    <col width="20" customWidth="1" style="6" min="2" max="2"/>
  </cols>
  <sheetData>
    <row r="1" ht="21" customHeight="1" s="6">
      <c r="A1" s="5" t="inlineStr">
        <is>
          <t>RESUMEN DE REQUERIMIENTOS</t>
        </is>
      </c>
    </row>
    <row r="3">
      <c r="A3" s="7" t="inlineStr">
        <is>
          <t>Esta hoja se actualizará automáticamente conforme agreguen requerimientos en las otras pestañas.</t>
        </is>
      </c>
    </row>
    <row r="5">
      <c r="A5" s="4" t="inlineStr">
        <is>
          <t>Métrica</t>
        </is>
      </c>
      <c r="B5" s="4" t="inlineStr">
        <is>
          <t>Valor</t>
        </is>
      </c>
    </row>
    <row r="6">
      <c r="A6" t="inlineStr">
        <is>
          <t>Total de Requerimientos Funcionales</t>
        </is>
      </c>
      <c r="B6">
        <f>COUNTA(Table1[ID])</f>
        <v/>
      </c>
    </row>
    <row r="7">
      <c r="A7" t="inlineStr">
        <is>
          <t>Total de Requerimientos No Funcionales</t>
        </is>
      </c>
      <c r="B7">
        <f>COUNTA(Table2[ID])</f>
        <v/>
      </c>
    </row>
    <row r="8">
      <c r="A8" t="inlineStr">
        <is>
          <t>Total General</t>
        </is>
      </c>
      <c r="B8">
        <f>B6+B7</f>
        <v/>
      </c>
    </row>
    <row r="10">
      <c r="A10" s="4" t="inlineStr">
        <is>
          <t>Requerimientos por Prioridad</t>
        </is>
      </c>
    </row>
    <row r="11">
      <c r="A11" t="inlineStr">
        <is>
          <t>Must have (RF + RNF)</t>
        </is>
      </c>
      <c r="B11">
        <f>COUNTIF('RF - Funcionales'!D:D,"Must have")+COUNTIF('RNF - No Funcionales'!E:E,"Must have")</f>
        <v/>
      </c>
    </row>
    <row r="12">
      <c r="A12" t="inlineStr">
        <is>
          <t>Should have (RF + RNF)</t>
        </is>
      </c>
      <c r="B12">
        <f>COUNTIF('RF - Funcionales'!D:D,"Should have")+COUNTIF('RNF - No Funcionales'!E:E,"Should have")</f>
        <v/>
      </c>
    </row>
    <row r="13">
      <c r="A13" t="inlineStr">
        <is>
          <t>Could have (RF + RNF)</t>
        </is>
      </c>
      <c r="B13">
        <f>COUNTIF('RF - Funcionales'!D:D,"Could have")+COUNTIF('RNF - No Funcionales'!E:E,"Could have")</f>
        <v/>
      </c>
    </row>
    <row r="14">
      <c r="A14" t="inlineStr">
        <is>
          <t>Won't have (RF + RNF)</t>
        </is>
      </c>
      <c r="B14">
        <f>COUNTIF('RF - Funcionales'!D:D,"Won't have")+COUNTIF('RNF - No Funcionales'!E:E,"Won't have")</f>
        <v/>
      </c>
    </row>
    <row r="16">
      <c r="A16" s="4" t="inlineStr">
        <is>
          <t>Requerimientos por Estado</t>
        </is>
      </c>
    </row>
    <row r="17">
      <c r="A17" t="inlineStr">
        <is>
          <t>Propuesto</t>
        </is>
      </c>
      <c r="B17">
        <f>COUNTIF('RF - Funcionales'!F:F,"Validado con cliente")+COUNTIF('RNF - No Funcionales'!G:G,"Validado con cliente")</f>
        <v/>
      </c>
    </row>
    <row r="18">
      <c r="A18" t="inlineStr">
        <is>
          <t>En revisión</t>
        </is>
      </c>
      <c r="B18">
        <f>COUNTIF('RF - Funcionales'!F:F,"Validado internamente")+COUNTIF('RNF - No Funcionales'!G:G,"Validado internamente")</f>
        <v/>
      </c>
    </row>
    <row r="19">
      <c r="A19" t="inlineStr">
        <is>
          <t>Validado internamente</t>
        </is>
      </c>
      <c r="B19">
        <f>COUNTIF('RF - Funcionales'!F:F,"Validado internamente")+COUNTIF('RNF - No Funcionales'!G:G,"Validado internamente")</f>
        <v/>
      </c>
    </row>
    <row r="20">
      <c r="A20" t="inlineStr">
        <is>
          <t>Validado con cliente</t>
        </is>
      </c>
      <c r="B20">
        <f>COUNTIF('RF - Funcionales'!F:F,"Validado con cliente")+COUNTIF('RNF - No Funcionales'!G:G,"Validado con cliente")</f>
        <v/>
      </c>
    </row>
    <row r="21">
      <c r="A21" t="inlineStr">
        <is>
          <t>Rechazado</t>
        </is>
      </c>
      <c r="B21">
        <f>COUNTIF('RF - Funcionales'!F:F,"Rechazado")+COUNTIF('RNF - No Funcionales'!G:G,"Rechazado")</f>
        <v/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2026-03-22T19:30:30Z</dcterms:created>
  <dcterms:modified xmlns:dcterms="http://purl.org/dc/terms/" xmlns:xsi="http://www.w3.org/2001/XMLSchema-instance" xsi:type="dcterms:W3CDTF">2026-05-28T18:16:26Z</dcterms:modified>
  <cp:lastModifiedBy>GAEL ZAIR LIMON RODRIGUEZ</cp:lastModifiedBy>
</cp:coreProperties>
</file>