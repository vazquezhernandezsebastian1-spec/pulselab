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6F0CA6D5-1974-408E-A428-D9C456E5FDC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strucciones" sheetId="1" r:id="rId1"/>
    <sheet name="RF - Funcionales" sheetId="2" r:id="rId2"/>
    <sheet name="RNF - No Funcionales" sheetId="3" r:id="rId3"/>
    <sheet name="Resumen" sheetId="4" r:id="rId4"/>
  </sheets>
  <definedNames>
    <definedName name="_xlnm._FilterDatabase" localSheetId="1" hidden="1">'RF - Funcionales'!$A$1:$H$100</definedName>
    <definedName name="_xlnm._FilterDatabase" localSheetId="2" hidden="1">'RNF - No Funcionales'!$A$1:$I$100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6" i="4"/>
  <c r="B21" i="4"/>
  <c r="B20" i="4"/>
  <c r="B19" i="4"/>
  <c r="B18" i="4"/>
  <c r="B17" i="4"/>
  <c r="B14" i="4"/>
  <c r="B13" i="4"/>
  <c r="B12" i="4"/>
  <c r="B11" i="4"/>
  <c r="B8" i="4" l="1"/>
</calcChain>
</file>

<file path=xl/sharedStrings.xml><?xml version="1.0" encoding="utf-8"?>
<sst xmlns="http://schemas.openxmlformats.org/spreadsheetml/2006/main" count="149" uniqueCount="112">
  <si>
    <t>MATRIZ DE REQUERIMIENTOS - INSTRUCCIONES DE USO</t>
  </si>
  <si>
    <t>Propósito de esta matriz</t>
  </si>
  <si>
    <t>Esta matriz les permite documentar, priorizar y dar seguimiento a los requerimientos identificados en las entrevistas con el cliente.</t>
  </si>
  <si>
    <t>La matriz está diseñada para refinamiento iterativo: pueden ir agregando y modificando requerimientos conforme avanzan las entrevistas.</t>
  </si>
  <si>
    <t>Cómo usar esta plantilla:</t>
  </si>
  <si>
    <t>1. Vayan a la pestaña 'RF - Requerimientos Funcionales' y documenten todos los requerimientos funcionales identificados.</t>
  </si>
  <si>
    <t>2. Vayan a la pestaña 'RNF - Requerimientos No Funcionales' y documenten los no funcionales.</t>
  </si>
  <si>
    <t>3. La pestaña 'Resumen' se actualiza automáticamente con estadísticas.</t>
  </si>
  <si>
    <t>4. Usen los filtros de las columnas para ordenar por prioridad, estado, etc.</t>
  </si>
  <si>
    <t>Descripción de columnas:</t>
  </si>
  <si>
    <t>ID: Identificador único. Formato: RF-01, RF-02... para funcionales; RNF-01, RNF-02... para no funcionales.</t>
  </si>
  <si>
    <t>Descripción: Redactar en formato 'El sistema debe...' Ser específico y claro.</t>
  </si>
  <si>
    <t>Criterio de aceptación: ¿Cómo sabemos que el requerimiento está cumplido? OBLIGATORIO para Must-have.</t>
  </si>
  <si>
    <t>Prioridad: Usar metodología MoSCoW:</t>
  </si>
  <si>
    <t xml:space="preserve">  • Must have: Sin esto, el sistema no tiene sentido</t>
  </si>
  <si>
    <t xml:space="preserve">  • Should have: Muy importante, pero no crítico para primera versión</t>
  </si>
  <si>
    <t xml:space="preserve">  • Could have: Deseable si hay tiempo/presupuesto</t>
  </si>
  <si>
    <t xml:space="preserve">  • Won't have: Fuera de alcance en esta versión</t>
  </si>
  <si>
    <t>Fuente: ¿Quién solicitó este requerimiento? (nombre del stakeholder o rol)</t>
  </si>
  <si>
    <t>Estado: Evolución del requerimiento:</t>
  </si>
  <si>
    <t xml:space="preserve">  • Propuesto: Identificado en entrevista, pendiente de análisis</t>
  </si>
  <si>
    <t xml:space="preserve">  • En revisión: El equipo lo está analizando/refinando</t>
  </si>
  <si>
    <t xml:space="preserve">  • Validado internamente: El equipo confirma que es correcto</t>
  </si>
  <si>
    <t xml:space="preserve">  • Validado con cliente: El cliente lo aprobó</t>
  </si>
  <si>
    <t xml:space="preserve">  • Rechazado: Se decidió no incluirlo (explicar en Notas)</t>
  </si>
  <si>
    <t>Versión: Número de versión del requerimiento (empieza en 1.0, si lo modifican pasa a 1.1, etc.)</t>
  </si>
  <si>
    <t>Notas: Comentarios, dependencias con otros requerimientos, aclaraciones.</t>
  </si>
  <si>
    <t>Errores comunes a evitar:</t>
  </si>
  <si>
    <t>❌ Requerimientos ambiguos: 'El sistema debe ser rápido' → ✅ 'El sistema debe responder en menos de 2 segundos'</t>
  </si>
  <si>
    <t>❌ Soluciones disfrazadas de requerimientos: 'Debe usar MySQL' → ✅ 'Debe almacenar datos de forma persistente'</t>
  </si>
  <si>
    <t>❌ Requerimientos sin criterio de aceptación para Must-have → ✅ Siempre definir cómo validar</t>
  </si>
  <si>
    <t>❌ No indicar fuente → ✅ Rastrear quién lo pidió</t>
  </si>
  <si>
    <t>¡Éxito documentando sus requerimientos! 🚀</t>
  </si>
  <si>
    <t>ID</t>
  </si>
  <si>
    <t>Descripción</t>
  </si>
  <si>
    <t>Criterio de Aceptación</t>
  </si>
  <si>
    <t>Prioridad</t>
  </si>
  <si>
    <t>Fuente</t>
  </si>
  <si>
    <t>Estado</t>
  </si>
  <si>
    <t>Versión</t>
  </si>
  <si>
    <t>Notas</t>
  </si>
  <si>
    <t>RF-01</t>
  </si>
  <si>
    <t>Must have</t>
  </si>
  <si>
    <t>Validado internamente</t>
  </si>
  <si>
    <t>Categoría</t>
  </si>
  <si>
    <t>RNF-01</t>
  </si>
  <si>
    <t>Usabilidad</t>
  </si>
  <si>
    <t>RESUMEN DE REQUERIMIENTOS</t>
  </si>
  <si>
    <t>Esta hoja se actualizará automáticamente conforme agreguen requerimientos en las otras pestañas.</t>
  </si>
  <si>
    <t>Métrica</t>
  </si>
  <si>
    <t>Valor</t>
  </si>
  <si>
    <t>Total de Requerimientos Funcionales</t>
  </si>
  <si>
    <t>Total de Requerimientos No Funcionales</t>
  </si>
  <si>
    <t>Total General</t>
  </si>
  <si>
    <t>Requerimientos por Prioridad</t>
  </si>
  <si>
    <t>Must have (RF + RNF)</t>
  </si>
  <si>
    <t>Should have (RF + RNF)</t>
  </si>
  <si>
    <t>Could have (RF + RNF)</t>
  </si>
  <si>
    <t>Won't have (RF + RNF)</t>
  </si>
  <si>
    <t>Requerimientos por Estado</t>
  </si>
  <si>
    <t>Propuesto</t>
  </si>
  <si>
    <t>En revisión</t>
  </si>
  <si>
    <t>Validado con cliente</t>
  </si>
  <si>
    <t>Rechazado</t>
  </si>
  <si>
    <t>El sistema debe mostrar un monitor de signos vitales con los valores base (FC, FR, SpO2, PA y Temperatura).</t>
  </si>
  <si>
    <t>Al cargar un escenario clínico, el sistema despliega correctamente los 5 parámetros numéricos definidos en la base de datos para ese caso.</t>
  </si>
  <si>
    <t>Cliente (Mtra. Mariely)</t>
  </si>
  <si>
    <t>Interfaz 2D informativa.</t>
  </si>
  <si>
    <t>RF-02</t>
  </si>
  <si>
    <t>El sistema debe permitir la resolución de casos clínicos mediante preguntas de opción múltiple (4 opciones).</t>
  </si>
  <si>
    <t>El usuario puede seleccionar una de las 4 opciones disponibles y el sistema registra la respuesta para validación inmediata.</t>
  </si>
  <si>
    <t>-</t>
  </si>
  <si>
    <t>RF-03</t>
  </si>
  <si>
    <t>El sistema debe mostrar retroalimentación textual detallada después de cada respuesta.</t>
  </si>
  <si>
    <t>Tras seleccionar una opción, el sistema despliega un cuadro de diálogo con la justificación técnica del acierto o error cometido.</t>
  </si>
  <si>
    <t>Texto generado por IA y validado por docente.</t>
  </si>
  <si>
    <t>RF-04</t>
  </si>
  <si>
    <t>El sistema debe permitir el inicio de sesión con perfiles diferenciados (Estudiante y Docente).</t>
  </si>
  <si>
    <t>El sistema redirige al usuario a interfaces distintas según su rol: Alumno (vista de casos) o Docente (gestión de casos y reportes).</t>
  </si>
  <si>
    <t>Equipo LITC</t>
  </si>
  <si>
    <t>Requiere tabla de usuarios en la BD.</t>
  </si>
  <si>
    <t>RF-05</t>
  </si>
  <si>
    <t>El sistema debe incluir elementos de gamificación: tiempos límite y uso de "comodines".</t>
  </si>
  <si>
    <t>Al activar un caso, se inicia un cronómetro; si el tiempo se agota, se marca como error. Los comodines deben ser seleccionables 1 vez por sesión.</t>
  </si>
  <si>
    <t>Should have</t>
  </si>
  <si>
    <t>Nivel de presión pedagógica.</t>
  </si>
  <si>
    <t>RF-06</t>
  </si>
  <si>
    <t>El sistema debe permitir al docente crear, editar y eliminar casos clínicos en el banco de preguntas.</t>
  </si>
  <si>
    <t>El perfil docente tiene acceso a un formulario CRUD para alimentar la base de datos de casos adultos.</t>
  </si>
  <si>
    <t>Escalabilidad del sistema.</t>
  </si>
  <si>
    <t>RF-07</t>
  </si>
  <si>
    <t>El sistema debe generar reportes de resultados individuales y grupales para el perfil docente.</t>
  </si>
  <si>
    <t>El docente puede visualizar una tabla con nombres, fechas, aciertos y tiempos de respuesta de los alumnos que resolvieron casos.</t>
  </si>
  <si>
    <t>Exportable o visualización en tabla.</t>
  </si>
  <si>
    <t>El sistema debe tener una interfaz intuitiva adaptada a estudiantes de enfermería sin experiencia técnica.</t>
  </si>
  <si>
    <t>Un usuario nuevo puede completar un caso clínico en menos de 5 minutos sin necesidad de un manual de usuario.</t>
  </si>
  <si>
    <t>Diseño enfocado al usuario (UAA).</t>
  </si>
  <si>
    <t>RNF-02</t>
  </si>
  <si>
    <t>Fiabilidad</t>
  </si>
  <si>
    <t>El sistema debe garantizar la persistencia de los datos mediante una base de datos relacional.</t>
  </si>
  <si>
    <t>Al cerrar la sesión y volver a entrar, los reportes de resultados y los nuevos casos creados permanecen almacenados sin pérdidas.</t>
  </si>
  <si>
    <t>MySQL o PostgreSQL.</t>
  </si>
  <si>
    <t>RNF-03</t>
  </si>
  <si>
    <t>Disponibilidad</t>
  </si>
  <si>
    <t>El sistema debe ser accesible vía web a través de navegadores estándar (Chrome, Edge, Safari).</t>
  </si>
  <si>
    <t>El sistema carga y es funcional al ingresar a la URL (ej. GitHub Pages + Backend externo) sin instalar software adicional.</t>
  </si>
  <si>
    <t>Despliegue en la nube.</t>
  </si>
  <si>
    <t>RNF-04</t>
  </si>
  <si>
    <t>Portabilidad</t>
  </si>
  <si>
    <t>El sistema debe ser responsive para visualizarse correctamente en tablets y computadoras.</t>
  </si>
  <si>
    <t>Los elementos del monitor de signos vitales no se solapan y son legibles en pantallas de al menos 10 pulgadas.</t>
  </si>
  <si>
    <t>Importante para laboratorios UAA.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</si>
</sst>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color rgb="FF1F4E79"/>
      <name val="Calibri"/>
    </font>
    <font>
      <b/>
      <sz val="11"/>
      <color rgb="FF1F4E79"/>
      <name val="Calibri"/>
    </font>
    <font>
      <i/>
      <sz val="10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3" fillId="2" borderId="0" xfId="0" applyFont="1" applyFill="1"/>
    <xf numFmtId="0" fontId="1" fillId="0" borderId="0" xfId="0" applyFont="1"/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right" vertical="center" wrapText="1" indent="1" readingOrder="1"/>
    </xf>
    <xf numFmtId="0" fontId="6" fillId="0" borderId="2" xfId="0" applyFont="1" applyBorder="1" applyAlignment="1">
      <alignment horizontal="right" vertical="center" wrapText="1" indent="1" readingOrder="1"/>
    </xf>
    <xf numFmtId="0" fontId="5" fillId="0" borderId="3" xfId="0" applyFont="1" applyBorder="1" applyAlignment="1">
      <alignment vertical="center" wrapText="1" readingOrder="1"/>
    </xf>
    <xf numFmtId="0" fontId="6" fillId="0" borderId="7" xfId="0" applyFont="1" applyBorder="1" applyAlignment="1">
      <alignment horizontal="right" vertical="center" wrapText="1" indent="1" readingOrder="1"/>
    </xf>
    <xf numFmtId="0" fontId="5" fillId="0" borderId="8" xfId="0" applyFont="1" applyBorder="1" applyAlignment="1">
      <alignment horizontal="right" vertical="center" wrapText="1" indent="1" readingOrder="1"/>
    </xf>
    <xf numFmtId="0" fontId="5" fillId="0" borderId="9" xfId="0" applyFont="1" applyBorder="1" applyAlignment="1">
      <alignment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168" fontId="5" fillId="0" borderId="1" xfId="0" applyNumberFormat="1" applyFont="1" applyBorder="1" applyAlignment="1">
      <alignment horizontal="right" vertical="center" wrapText="1" indent="1" readingOrder="1"/>
    </xf>
    <xf numFmtId="168" fontId="5" fillId="0" borderId="8" xfId="0" applyNumberFormat="1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8" formatCode="0.0"/>
      <alignment horizontal="righ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C8A344-2FD7-4555-9850-144AC4AB3262}" name="Table1" displayName="Table1" ref="A1:H8" totalsRowShown="0" headerRowDxfId="14" dataDxfId="15" headerRowBorderDxfId="25" tableBorderDxfId="26" totalsRowBorderDxfId="24">
  <autoFilter ref="A1:H8" xr:uid="{6BC8A344-2FD7-4555-9850-144AC4AB3262}"/>
  <tableColumns count="8">
    <tableColumn id="1" xr3:uid="{0D637BFD-DC69-497A-BBC6-FB436D3BE9B4}" name="ID" dataDxfId="23"/>
    <tableColumn id="2" xr3:uid="{49921AD0-7A14-43B8-B4CF-29422360F818}" name="Descripción" dataDxfId="22"/>
    <tableColumn id="3" xr3:uid="{13E4F1F3-7E5B-4649-AE83-26696BC7CCF4}" name="Criterio de Aceptación" dataDxfId="21"/>
    <tableColumn id="4" xr3:uid="{8C9FDC11-2308-437E-8DA9-113DD95C2A40}" name="Prioridad" dataDxfId="20"/>
    <tableColumn id="5" xr3:uid="{9A8E84F0-7801-439C-B73E-569715EA0F92}" name="Fuente" dataDxfId="19"/>
    <tableColumn id="6" xr3:uid="{5E5716EB-6363-4A59-AD51-E194EB4B4467}" name="Estado" dataDxfId="18"/>
    <tableColumn id="7" xr3:uid="{4E5BE672-9ADE-40CA-8AB9-2ACFFD5D50B3}" name="Versión" dataDxfId="17"/>
    <tableColumn id="8" xr3:uid="{EBC4F5CE-5161-42EE-8231-CE6BE4800A2E}" name="Notas" dataDxfId="1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6257A4-7974-4EFD-805E-BD255C3CAF7C}" name="Table2" displayName="Table2" ref="A1:I5" totalsRowShown="0" headerRowDxfId="3" dataDxfId="4" headerRowBorderDxfId="12" tableBorderDxfId="13" totalsRowBorderDxfId="11">
  <autoFilter ref="A1:I5" xr:uid="{B36257A4-7974-4EFD-805E-BD255C3CAF7C}"/>
  <tableColumns count="9">
    <tableColumn id="1" xr3:uid="{D2898FE9-8B77-4531-933F-54332A255F15}" name="ID" dataDxfId="10"/>
    <tableColumn id="2" xr3:uid="{4FC26A95-1802-451D-9838-6E5D0AECC0FC}" name="Categoría" dataDxfId="9"/>
    <tableColumn id="3" xr3:uid="{539DD846-9B15-4FCA-9037-418A30A24D3D}" name="Descripción" dataDxfId="8"/>
    <tableColumn id="4" xr3:uid="{DB7A4914-D17F-41CD-AE76-0F2A1797492B}" name="Criterio de Aceptación" dataDxfId="7"/>
    <tableColumn id="5" xr3:uid="{8B6A195D-6443-4F09-8FA6-E5F5A7171A90}" name="Prioridad" dataDxfId="6"/>
    <tableColumn id="6" xr3:uid="{6B8DB861-A3F6-4DFB-AF7C-F876EBD843A4}" name="Fuente" dataDxfId="5"/>
    <tableColumn id="7" xr3:uid="{C192A276-6385-4265-A9DA-82426C9CCCF9}" name="Estado" dataDxfId="2"/>
    <tableColumn id="8" xr3:uid="{F0FB6BEF-BC71-49F3-AC85-D33FE29A1B0B}" name="Versión" dataDxfId="0"/>
    <tableColumn id="9" xr3:uid="{06F0DAD9-B0D7-4D3D-97E5-3AAF3540281C}" name="Nota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workbookViewId="0">
      <selection sqref="A1:H1"/>
    </sheetView>
  </sheetViews>
  <sheetFormatPr defaultRowHeight="15" x14ac:dyDescent="0.25"/>
  <cols>
    <col min="1" max="1" width="120" customWidth="1"/>
  </cols>
  <sheetData>
    <row r="1" spans="1:8" ht="21" x14ac:dyDescent="0.35">
      <c r="A1" s="5" t="s">
        <v>0</v>
      </c>
      <c r="B1" s="6"/>
      <c r="C1" s="6"/>
      <c r="D1" s="6"/>
      <c r="E1" s="6"/>
      <c r="F1" s="6"/>
      <c r="G1" s="6"/>
      <c r="H1" s="6"/>
    </row>
    <row r="3" spans="1:8" ht="15.75" x14ac:dyDescent="0.25">
      <c r="A3" s="1" t="s">
        <v>1</v>
      </c>
    </row>
    <row r="4" spans="1:8" ht="30" x14ac:dyDescent="0.25">
      <c r="A4" s="2" t="s">
        <v>2</v>
      </c>
    </row>
    <row r="5" spans="1:8" ht="30" x14ac:dyDescent="0.25">
      <c r="A5" s="2" t="s">
        <v>3</v>
      </c>
    </row>
    <row r="7" spans="1:8" x14ac:dyDescent="0.25">
      <c r="A7" s="3" t="s">
        <v>4</v>
      </c>
    </row>
    <row r="8" spans="1:8" x14ac:dyDescent="0.25">
      <c r="A8" s="2" t="s">
        <v>5</v>
      </c>
    </row>
    <row r="9" spans="1:8" x14ac:dyDescent="0.25">
      <c r="A9" s="2" t="s">
        <v>6</v>
      </c>
    </row>
    <row r="10" spans="1:8" x14ac:dyDescent="0.25">
      <c r="A10" s="2" t="s">
        <v>7</v>
      </c>
    </row>
    <row r="11" spans="1:8" x14ac:dyDescent="0.25">
      <c r="A11" s="2" t="s">
        <v>8</v>
      </c>
    </row>
    <row r="13" spans="1:8" x14ac:dyDescent="0.25">
      <c r="A13" s="3" t="s">
        <v>9</v>
      </c>
    </row>
    <row r="15" spans="1:8" x14ac:dyDescent="0.25">
      <c r="A15" s="2" t="s">
        <v>10</v>
      </c>
    </row>
    <row r="16" spans="1:8" x14ac:dyDescent="0.25">
      <c r="A16" s="2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x14ac:dyDescent="0.25">
      <c r="A21" s="2" t="s">
        <v>16</v>
      </c>
    </row>
    <row r="22" spans="1:1" x14ac:dyDescent="0.25">
      <c r="A22" s="2" t="s">
        <v>17</v>
      </c>
    </row>
    <row r="23" spans="1:1" x14ac:dyDescent="0.25">
      <c r="A23" s="2" t="s">
        <v>18</v>
      </c>
    </row>
    <row r="24" spans="1:1" x14ac:dyDescent="0.25">
      <c r="A24" s="2" t="s">
        <v>19</v>
      </c>
    </row>
    <row r="25" spans="1:1" x14ac:dyDescent="0.25">
      <c r="A25" s="2" t="s">
        <v>20</v>
      </c>
    </row>
    <row r="26" spans="1:1" x14ac:dyDescent="0.25">
      <c r="A26" s="2" t="s">
        <v>21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3" spans="1:1" x14ac:dyDescent="0.25">
      <c r="A33" s="3" t="s">
        <v>27</v>
      </c>
    </row>
    <row r="34" spans="1:1" x14ac:dyDescent="0.25">
      <c r="A34" s="2" t="s">
        <v>28</v>
      </c>
    </row>
    <row r="35" spans="1:1" x14ac:dyDescent="0.25">
      <c r="A35" s="2" t="s">
        <v>29</v>
      </c>
    </row>
    <row r="36" spans="1:1" x14ac:dyDescent="0.25">
      <c r="A36" s="2" t="s">
        <v>30</v>
      </c>
    </row>
    <row r="37" spans="1:1" x14ac:dyDescent="0.25">
      <c r="A37" s="2" t="s">
        <v>31</v>
      </c>
    </row>
    <row r="39" spans="1:1" x14ac:dyDescent="0.25">
      <c r="A39" s="2" t="s">
        <v>32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pane ySplit="1" topLeftCell="A2" activePane="bottomLeft" state="frozen"/>
      <selection pane="bottomLeft" activeCell="K12" sqref="K12"/>
    </sheetView>
  </sheetViews>
  <sheetFormatPr defaultRowHeight="15" x14ac:dyDescent="0.25"/>
  <cols>
    <col min="1" max="1" width="10" customWidth="1"/>
    <col min="2" max="2" width="50" customWidth="1"/>
    <col min="3" max="3" width="40" customWidth="1"/>
    <col min="4" max="4" width="15" customWidth="1"/>
    <col min="5" max="6" width="20" customWidth="1"/>
    <col min="7" max="7" width="12.140625" customWidth="1"/>
    <col min="8" max="8" width="30" customWidth="1"/>
  </cols>
  <sheetData>
    <row r="1" spans="1:8" ht="15.75" thickBot="1" x14ac:dyDescent="0.3">
      <c r="A1" s="14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 t="s">
        <v>38</v>
      </c>
      <c r="G1" s="15" t="s">
        <v>39</v>
      </c>
      <c r="H1" s="16" t="s">
        <v>40</v>
      </c>
    </row>
    <row r="2" spans="1:8" ht="57.75" thickBot="1" x14ac:dyDescent="0.3">
      <c r="A2" s="9" t="s">
        <v>41</v>
      </c>
      <c r="B2" s="8" t="s">
        <v>64</v>
      </c>
      <c r="C2" s="8" t="s">
        <v>65</v>
      </c>
      <c r="D2" s="8" t="s">
        <v>42</v>
      </c>
      <c r="E2" s="8" t="s">
        <v>66</v>
      </c>
      <c r="F2" s="8" t="s">
        <v>60</v>
      </c>
      <c r="G2" s="17">
        <v>1</v>
      </c>
      <c r="H2" s="10" t="s">
        <v>67</v>
      </c>
    </row>
    <row r="3" spans="1:8" ht="57.75" thickBot="1" x14ac:dyDescent="0.3">
      <c r="A3" s="9" t="s">
        <v>68</v>
      </c>
      <c r="B3" s="8" t="s">
        <v>69</v>
      </c>
      <c r="C3" s="8" t="s">
        <v>70</v>
      </c>
      <c r="D3" s="8" t="s">
        <v>42</v>
      </c>
      <c r="E3" s="8" t="s">
        <v>66</v>
      </c>
      <c r="F3" s="8" t="s">
        <v>60</v>
      </c>
      <c r="G3" s="17">
        <v>1</v>
      </c>
      <c r="H3" s="10" t="s">
        <v>71</v>
      </c>
    </row>
    <row r="4" spans="1:8" ht="57.75" thickBot="1" x14ac:dyDescent="0.3">
      <c r="A4" s="9" t="s">
        <v>72</v>
      </c>
      <c r="B4" s="8" t="s">
        <v>73</v>
      </c>
      <c r="C4" s="8" t="s">
        <v>74</v>
      </c>
      <c r="D4" s="8" t="s">
        <v>42</v>
      </c>
      <c r="E4" s="8" t="s">
        <v>66</v>
      </c>
      <c r="F4" s="8" t="s">
        <v>60</v>
      </c>
      <c r="G4" s="17">
        <v>1</v>
      </c>
      <c r="H4" s="10" t="s">
        <v>75</v>
      </c>
    </row>
    <row r="5" spans="1:8" ht="57.75" thickBot="1" x14ac:dyDescent="0.3">
      <c r="A5" s="9" t="s">
        <v>76</v>
      </c>
      <c r="B5" s="8" t="s">
        <v>77</v>
      </c>
      <c r="C5" s="8" t="s">
        <v>78</v>
      </c>
      <c r="D5" s="8" t="s">
        <v>42</v>
      </c>
      <c r="E5" s="8" t="s">
        <v>79</v>
      </c>
      <c r="F5" s="8" t="s">
        <v>60</v>
      </c>
      <c r="G5" s="17">
        <v>1</v>
      </c>
      <c r="H5" s="10" t="s">
        <v>80</v>
      </c>
    </row>
    <row r="6" spans="1:8" ht="72" thickBot="1" x14ac:dyDescent="0.3">
      <c r="A6" s="9" t="s">
        <v>81</v>
      </c>
      <c r="B6" s="8" t="s">
        <v>82</v>
      </c>
      <c r="C6" s="8" t="s">
        <v>83</v>
      </c>
      <c r="D6" s="8" t="s">
        <v>84</v>
      </c>
      <c r="E6" s="8" t="s">
        <v>66</v>
      </c>
      <c r="F6" s="8" t="s">
        <v>60</v>
      </c>
      <c r="G6" s="17">
        <v>1</v>
      </c>
      <c r="H6" s="10" t="s">
        <v>85</v>
      </c>
    </row>
    <row r="7" spans="1:8" ht="43.5" thickBot="1" x14ac:dyDescent="0.3">
      <c r="A7" s="9" t="s">
        <v>86</v>
      </c>
      <c r="B7" s="8" t="s">
        <v>87</v>
      </c>
      <c r="C7" s="8" t="s">
        <v>88</v>
      </c>
      <c r="D7" s="8" t="s">
        <v>42</v>
      </c>
      <c r="E7" s="8" t="s">
        <v>66</v>
      </c>
      <c r="F7" s="8" t="s">
        <v>60</v>
      </c>
      <c r="G7" s="17">
        <v>1</v>
      </c>
      <c r="H7" s="10" t="s">
        <v>89</v>
      </c>
    </row>
    <row r="8" spans="1:8" ht="57" x14ac:dyDescent="0.25">
      <c r="A8" s="11" t="s">
        <v>90</v>
      </c>
      <c r="B8" s="12" t="s">
        <v>91</v>
      </c>
      <c r="C8" s="12" t="s">
        <v>92</v>
      </c>
      <c r="D8" s="12" t="s">
        <v>42</v>
      </c>
      <c r="E8" s="12" t="s">
        <v>66</v>
      </c>
      <c r="F8" s="12" t="s">
        <v>60</v>
      </c>
      <c r="G8" s="18">
        <v>1</v>
      </c>
      <c r="H8" s="13" t="s">
        <v>93</v>
      </c>
    </row>
  </sheetData>
  <dataValidations count="2">
    <dataValidation type="list" sqref="E9:E100 D9:D100" xr:uid="{00000000-0002-0000-0100-000000000000}">
      <formula1>"Must have,Should have,Could have,Won't have"</formula1>
    </dataValidation>
    <dataValidation type="list" sqref="G9:G100 F9:F100" xr:uid="{00000000-0002-0000-0100-000001000000}">
      <formula1>"Propuesto,En revisión,Validado internamente,Validado con cliente,Rechazado"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pane ySplit="1" topLeftCell="A2" activePane="bottomLeft" state="frozen"/>
      <selection pane="bottomLeft" activeCell="H2" sqref="H2:H5"/>
    </sheetView>
  </sheetViews>
  <sheetFormatPr defaultRowHeight="15" x14ac:dyDescent="0.25"/>
  <cols>
    <col min="1" max="1" width="10" customWidth="1"/>
    <col min="2" max="2" width="15" customWidth="1"/>
    <col min="3" max="3" width="45" customWidth="1"/>
    <col min="4" max="4" width="35" customWidth="1"/>
    <col min="5" max="5" width="15" customWidth="1"/>
    <col min="6" max="7" width="20" customWidth="1"/>
    <col min="8" max="8" width="10.85546875" customWidth="1"/>
    <col min="9" max="9" width="30" customWidth="1"/>
  </cols>
  <sheetData>
    <row r="1" spans="1:9" ht="15.75" thickBot="1" x14ac:dyDescent="0.3">
      <c r="A1" s="14" t="s">
        <v>33</v>
      </c>
      <c r="B1" s="15" t="s">
        <v>44</v>
      </c>
      <c r="C1" s="15" t="s">
        <v>34</v>
      </c>
      <c r="D1" s="15" t="s">
        <v>35</v>
      </c>
      <c r="E1" s="15" t="s">
        <v>36</v>
      </c>
      <c r="F1" s="15" t="s">
        <v>37</v>
      </c>
      <c r="G1" s="15" t="s">
        <v>38</v>
      </c>
      <c r="H1" s="15" t="s">
        <v>39</v>
      </c>
      <c r="I1" s="16" t="s">
        <v>40</v>
      </c>
    </row>
    <row r="2" spans="1:9" ht="72" thickBot="1" x14ac:dyDescent="0.3">
      <c r="A2" s="9" t="s">
        <v>45</v>
      </c>
      <c r="B2" s="8" t="s">
        <v>46</v>
      </c>
      <c r="C2" s="8" t="s">
        <v>94</v>
      </c>
      <c r="D2" s="8" t="s">
        <v>95</v>
      </c>
      <c r="E2" s="8" t="s">
        <v>42</v>
      </c>
      <c r="F2" s="8" t="s">
        <v>66</v>
      </c>
      <c r="G2" s="8" t="s">
        <v>60</v>
      </c>
      <c r="H2" s="17">
        <v>1</v>
      </c>
      <c r="I2" s="10" t="s">
        <v>96</v>
      </c>
    </row>
    <row r="3" spans="1:9" ht="72" thickBot="1" x14ac:dyDescent="0.3">
      <c r="A3" s="9" t="s">
        <v>97</v>
      </c>
      <c r="B3" s="8" t="s">
        <v>98</v>
      </c>
      <c r="C3" s="8" t="s">
        <v>99</v>
      </c>
      <c r="D3" s="8" t="s">
        <v>100</v>
      </c>
      <c r="E3" s="8" t="s">
        <v>42</v>
      </c>
      <c r="F3" s="8" t="s">
        <v>79</v>
      </c>
      <c r="G3" s="8" t="s">
        <v>60</v>
      </c>
      <c r="H3" s="17">
        <v>1</v>
      </c>
      <c r="I3" s="10" t="s">
        <v>101</v>
      </c>
    </row>
    <row r="4" spans="1:9" ht="57.75" thickBot="1" x14ac:dyDescent="0.3">
      <c r="A4" s="9" t="s">
        <v>102</v>
      </c>
      <c r="B4" s="8" t="s">
        <v>103</v>
      </c>
      <c r="C4" s="8" t="s">
        <v>104</v>
      </c>
      <c r="D4" s="8" t="s">
        <v>105</v>
      </c>
      <c r="E4" s="8" t="s">
        <v>42</v>
      </c>
      <c r="F4" s="8" t="s">
        <v>79</v>
      </c>
      <c r="G4" s="8" t="s">
        <v>60</v>
      </c>
      <c r="H4" s="17">
        <v>1</v>
      </c>
      <c r="I4" s="10" t="s">
        <v>106</v>
      </c>
    </row>
    <row r="5" spans="1:9" ht="57" x14ac:dyDescent="0.25">
      <c r="A5" s="11" t="s">
        <v>107</v>
      </c>
      <c r="B5" s="12" t="s">
        <v>108</v>
      </c>
      <c r="C5" s="12" t="s">
        <v>109</v>
      </c>
      <c r="D5" s="12" t="s">
        <v>110</v>
      </c>
      <c r="E5" s="12" t="s">
        <v>84</v>
      </c>
      <c r="F5" s="12" t="s">
        <v>79</v>
      </c>
      <c r="G5" s="12" t="s">
        <v>60</v>
      </c>
      <c r="H5" s="18">
        <v>1</v>
      </c>
      <c r="I5" s="13" t="s">
        <v>111</v>
      </c>
    </row>
  </sheetData>
  <dataValidations count="3">
    <dataValidation type="list" sqref="B6:B100" xr:uid="{00000000-0002-0000-0200-000000000000}">
      <formula1>"Usabilidad,Rendimiento,Seguridad,Confiabilidad,Portabilidad,Mantenibilidad,Disponibilidad"</formula1>
    </dataValidation>
    <dataValidation type="list" sqref="E6:E100 D6:D100" xr:uid="{00000000-0002-0000-0200-000001000000}">
      <formula1>"Must have,Should have,Could have,Won't have"</formula1>
    </dataValidation>
    <dataValidation type="list" sqref="G6:G100 F6:F100" xr:uid="{00000000-0002-0000-0200-000002000000}">
      <formula1>"Propuesto,En revisión,Validado internamente,Validado con cliente,Rechazado"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tabSelected="1" workbookViewId="0">
      <selection activeCell="G14" sqref="G14"/>
    </sheetView>
  </sheetViews>
  <sheetFormatPr defaultRowHeight="15" x14ac:dyDescent="0.25"/>
  <cols>
    <col min="1" max="1" width="40" customWidth="1"/>
    <col min="2" max="2" width="20" customWidth="1"/>
  </cols>
  <sheetData>
    <row r="1" spans="1:4" ht="21" x14ac:dyDescent="0.35">
      <c r="A1" s="5" t="s">
        <v>47</v>
      </c>
      <c r="B1" s="6"/>
      <c r="C1" s="6"/>
      <c r="D1" s="6"/>
    </row>
    <row r="3" spans="1:4" x14ac:dyDescent="0.25">
      <c r="A3" s="7" t="s">
        <v>48</v>
      </c>
      <c r="B3" s="6"/>
      <c r="C3" s="6"/>
      <c r="D3" s="6"/>
    </row>
    <row r="5" spans="1:4" x14ac:dyDescent="0.25">
      <c r="A5" s="4" t="s">
        <v>49</v>
      </c>
      <c r="B5" s="4" t="s">
        <v>50</v>
      </c>
    </row>
    <row r="6" spans="1:4" x14ac:dyDescent="0.25">
      <c r="A6" t="s">
        <v>51</v>
      </c>
      <c r="B6">
        <f>COUNTA(Table1[ID])</f>
        <v>7</v>
      </c>
    </row>
    <row r="7" spans="1:4" x14ac:dyDescent="0.25">
      <c r="A7" t="s">
        <v>52</v>
      </c>
      <c r="B7">
        <f>COUNTA(Table2[ID])</f>
        <v>4</v>
      </c>
    </row>
    <row r="8" spans="1:4" x14ac:dyDescent="0.25">
      <c r="A8" t="s">
        <v>53</v>
      </c>
      <c r="B8">
        <f>B6+B7</f>
        <v>11</v>
      </c>
    </row>
    <row r="10" spans="1:4" x14ac:dyDescent="0.25">
      <c r="A10" s="4" t="s">
        <v>54</v>
      </c>
    </row>
    <row r="11" spans="1:4" x14ac:dyDescent="0.25">
      <c r="A11" t="s">
        <v>55</v>
      </c>
      <c r="B11">
        <f>COUNTIF('RF - Funcionales'!D:D,"Must have")+COUNTIF('RNF - No Funcionales'!E:E,"Must have")</f>
        <v>9</v>
      </c>
    </row>
    <row r="12" spans="1:4" x14ac:dyDescent="0.25">
      <c r="A12" t="s">
        <v>56</v>
      </c>
      <c r="B12">
        <f>COUNTIF('RF - Funcionales'!D:D,"Should have")+COUNTIF('RNF - No Funcionales'!E:E,"Should have")</f>
        <v>2</v>
      </c>
    </row>
    <row r="13" spans="1:4" x14ac:dyDescent="0.25">
      <c r="A13" t="s">
        <v>57</v>
      </c>
      <c r="B13">
        <f>COUNTIF('RF - Funcionales'!D:D,"Could have")+COUNTIF('RNF - No Funcionales'!E:E,"Could have")</f>
        <v>0</v>
      </c>
    </row>
    <row r="14" spans="1:4" x14ac:dyDescent="0.25">
      <c r="A14" t="s">
        <v>58</v>
      </c>
      <c r="B14">
        <f>COUNTIF('RF - Funcionales'!D:D,"Won't have")+COUNTIF('RNF - No Funcionales'!E:E,"Won't have")</f>
        <v>0</v>
      </c>
    </row>
    <row r="16" spans="1:4" x14ac:dyDescent="0.25">
      <c r="A16" s="4" t="s">
        <v>59</v>
      </c>
    </row>
    <row r="17" spans="1:2" x14ac:dyDescent="0.25">
      <c r="A17" t="s">
        <v>60</v>
      </c>
      <c r="B17">
        <f>COUNTIF('RF - Funcionales'!F:F,"Propuesto")+COUNTIF('RNF - No Funcionales'!G:G,"Propuesto")</f>
        <v>11</v>
      </c>
    </row>
    <row r="18" spans="1:2" x14ac:dyDescent="0.25">
      <c r="A18" t="s">
        <v>61</v>
      </c>
      <c r="B18">
        <f>COUNTIF('RF - Funcionales'!F:F,"En revisión")+COUNTIF('RNF - No Funcionales'!G:G,"En revisión")</f>
        <v>0</v>
      </c>
    </row>
    <row r="19" spans="1:2" x14ac:dyDescent="0.25">
      <c r="A19" t="s">
        <v>43</v>
      </c>
      <c r="B19">
        <f>COUNTIF('RF - Funcionales'!F:F,"Validado internamente")+COUNTIF('RNF - No Funcionales'!G:G,"Validado internamente")</f>
        <v>0</v>
      </c>
    </row>
    <row r="20" spans="1:2" x14ac:dyDescent="0.25">
      <c r="A20" t="s">
        <v>62</v>
      </c>
      <c r="B20">
        <f>COUNTIF('RF - Funcionales'!F:F,"Validado con cliente")+COUNTIF('RNF - No Funcionales'!G:G,"Validado con cliente")</f>
        <v>0</v>
      </c>
    </row>
    <row r="21" spans="1:2" x14ac:dyDescent="0.25">
      <c r="A21" t="s">
        <v>63</v>
      </c>
      <c r="B21">
        <f>COUNTIF('RF - Funcionales'!F:F,"Rechazado")+COUNTIF('RNF - No Funcionales'!G:G,"Rechazado")</f>
        <v>0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RF - Funcionales</vt:lpstr>
      <vt:lpstr>RNF - No Funcionales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GAEL ZAIR LIMON RODRIGUEZ</cp:lastModifiedBy>
  <dcterms:created xsi:type="dcterms:W3CDTF">2026-03-22T19:30:30Z</dcterms:created>
  <dcterms:modified xsi:type="dcterms:W3CDTF">2026-04-09T16:35:02Z</dcterms:modified>
</cp:coreProperties>
</file>