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razabilidad" sheetId="2" state="visible" r:id="rId2"/>
    <sheet xmlns:r="http://schemas.openxmlformats.org/officeDocument/2006/relationships" name="Resumen Cobertura" sheetId="3" state="visible" r:id="rId3"/>
  </sheets>
  <definedNames>
    <definedName name="_xlnm._FilterDatabase" localSheetId="1" hidden="1">'Trazabilidad'!$A$3:$J$200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1F4E79"/>
      <sz val="16"/>
    </font>
    <font>
      <name val="Arial"/>
      <b val="1"/>
      <color rgb="FF1F4E79"/>
      <sz val="11"/>
    </font>
    <font>
      <name val="Arial"/>
      <color rgb="FF404040"/>
      <sz val="11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F4E79"/>
      <sz val="14"/>
    </font>
    <font>
      <name val="Arial"/>
      <i val="1"/>
      <color rgb="FF595959"/>
      <sz val="10"/>
    </font>
    <font>
      <b val="1"/>
      <color rgb="00FFFFFF"/>
    </font>
    <font>
      <b val="1"/>
      <color rgb="00000000"/>
    </font>
  </fonts>
  <fills count="14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E74B5"/>
        <bgColor rgb="FF2E74B5"/>
      </patternFill>
    </fill>
    <fill>
      <patternFill patternType="solid">
        <fgColor rgb="FF375623"/>
        <bgColor rgb="FF375623"/>
      </patternFill>
    </fill>
    <fill>
      <patternFill patternType="solid">
        <fgColor rgb="FF833C00"/>
        <bgColor rgb="FF833C00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F8F8F8"/>
        <bgColor rgb="FFF8F8F8"/>
      </patternFill>
    </fill>
    <fill>
      <patternFill patternType="solid">
        <fgColor rgb="FFFFF2CC"/>
        <bgColor rgb="FFFFF2CC"/>
      </patternFill>
    </fill>
    <fill>
      <patternFill patternType="solid">
        <fgColor rgb="FFEDEDED"/>
        <bgColor rgb="FFEDEDED"/>
      </patternFill>
    </fill>
    <fill>
      <patternFill patternType="solid">
        <fgColor rgb="FFF2F2F2"/>
        <b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1" fillId="0" borderId="0" pivotButton="0" quotePrefix="0" xfId="0"/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12" borderId="0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5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tabSelected="1" topLeftCell="A6" workbookViewId="0">
      <selection activeCell="A4" sqref="A4"/>
    </sheetView>
  </sheetViews>
  <sheetFormatPr baseColWidth="10" defaultColWidth="9.140625" defaultRowHeight="15"/>
  <cols>
    <col width="110" customWidth="1" style="12" min="1" max="1"/>
  </cols>
  <sheetData>
    <row r="1" ht="30" customHeight="1" s="12">
      <c r="A1" s="11" t="inlineStr">
        <is>
          <t>MATRIZ DE TRAZABILIDAD — INSTRUCCIONES</t>
        </is>
      </c>
    </row>
    <row r="3" ht="30" customHeight="1" s="12">
      <c r="A3" s="1" t="inlineStr">
        <is>
          <t>¿Qué es la Matriz de Trazabilidad?</t>
        </is>
      </c>
    </row>
    <row r="4" ht="43.5" customHeight="1" s="12">
      <c r="A4" s="2" t="inlineStr">
        <is>
          <t>Documenta la relación entre cada requerimiento de la matriz y su implementación visible en el prototipo. Permite demostrar que el prototipo cubre los requerimientos especificados y que ninguno quedó sin representar.</t>
        </is>
      </c>
    </row>
    <row r="6" ht="30" customHeight="1" s="12">
      <c r="A6" s="1" t="inlineStr">
        <is>
          <t>¿Cómo llenar esta matriz?</t>
        </is>
      </c>
    </row>
    <row r="7" ht="20.1" customHeight="1" s="12">
      <c r="A7" s="2" t="inlineStr">
        <is>
          <t>1. Copien los IDs de requerimientos desde Matriz_Requerimientos.xlsx (columna ID).</t>
        </is>
      </c>
    </row>
    <row r="8" ht="20.1" customHeight="1" s="12">
      <c r="A8" s="2" t="inlineStr">
        <is>
          <t>2. Para cada requerimiento, identifiquen en qué pantalla(s) del prototipo es visible.</t>
        </is>
      </c>
    </row>
    <row r="9" ht="20.1" customHeight="1" s="12">
      <c r="A9" s="2" t="inlineStr">
        <is>
          <t>3. Indiquen la sección o componente específico dentro de la pantalla (ej: 'Formulario sección 2 - campo Diagnóstico').</t>
        </is>
      </c>
    </row>
    <row r="10" ht="20.1" customHeight="1" s="12">
      <c r="A10" s="2" t="inlineStr">
        <is>
          <t>4. Asignen el estado de cobertura con el menú desplegable.</t>
        </is>
      </c>
    </row>
    <row r="11" ht="20.1" customHeight="1" s="12">
      <c r="A11" s="2" t="inlineStr">
        <is>
          <t>5. Marquen si fue validado con el cliente durante la sesión de revisión del prototipo.</t>
        </is>
      </c>
    </row>
    <row r="12" ht="20.1" customHeight="1" s="12">
      <c r="A12" s="2" t="inlineStr">
        <is>
          <t>6. Agreguen observaciones si el requerimiento fue ajustado o está pendiente.</t>
        </is>
      </c>
    </row>
    <row r="14" ht="30" customHeight="1" s="12">
      <c r="A14" s="1" t="inlineStr">
        <is>
          <t>Estados de cobertura:</t>
        </is>
      </c>
    </row>
    <row r="15" ht="20.1" customHeight="1" s="12">
      <c r="A15" s="2" t="inlineStr">
        <is>
          <t xml:space="preserve">  • Cubierto: El prototipo implementa completamente el requerimiento tal como fue especificado.</t>
        </is>
      </c>
    </row>
    <row r="16" ht="20.1" customHeight="1" s="12">
      <c r="A16" s="2" t="inlineStr">
        <is>
          <t xml:space="preserve">  • Parcialmente cubierto: El prototipo muestra parte del requerimiento. Indicar qué falta en Observaciones.</t>
        </is>
      </c>
    </row>
    <row r="17" ht="20.1" customHeight="1" s="12">
      <c r="A17" s="2" t="inlineStr">
        <is>
          <t xml:space="preserve">  • No cubierto: El requerimiento NO está representado en el prototipo (ej: RNF de rendimiento).</t>
        </is>
      </c>
    </row>
    <row r="18" ht="20.1" customHeight="1" s="12">
      <c r="A18" s="2" t="inlineStr">
        <is>
          <t xml:space="preserve">  • No aplica al prototipo: Requerimientos que por naturaleza no son visibles (ej: respaldos automáticos).</t>
        </is>
      </c>
    </row>
    <row r="20" ht="30" customHeight="1" s="12">
      <c r="A20" s="1" t="inlineStr">
        <is>
          <t>Consejo:</t>
        </is>
      </c>
    </row>
    <row r="21" ht="40.5" customHeight="1" s="12">
      <c r="A21" s="2" t="inlineStr">
        <is>
          <t>Los RNF técnicos (rendimiento, seguridad, disponibilidad) generalmente NO se cubren con prototipo HTML. Márcalos como 'No aplica al prototipo' y anota cómo se validarán más adelante.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9" activePane="bottomLeft" state="frozen"/>
      <selection pane="bottomLeft" activeCell="A1" sqref="A1:J1"/>
    </sheetView>
  </sheetViews>
  <sheetFormatPr baseColWidth="10" defaultColWidth="9.140625" defaultRowHeight="15"/>
  <cols>
    <col width="12" customWidth="1" style="12" min="1" max="1"/>
    <col width="10" customWidth="1" style="12" min="2" max="2"/>
    <col width="48" customWidth="1" style="12" min="3" max="3"/>
    <col width="16" customWidth="1" style="12" min="4" max="5"/>
    <col width="18" customWidth="1" style="12" min="5" max="5"/>
    <col width="28" customWidth="1" style="12" min="6" max="6"/>
    <col width="64" customWidth="1" style="12" min="7" max="7"/>
    <col width="24" customWidth="1" style="12" min="8" max="8"/>
    <col width="18" customWidth="1" style="12" min="9" max="9"/>
    <col width="50" customWidth="1" style="12" min="10" max="10"/>
  </cols>
  <sheetData>
    <row r="1" ht="27.95" customHeight="1" s="12">
      <c r="A1" s="19" t="inlineStr">
        <is>
          <t>MATRIZ DE TRAZABILIDAD — REQUERIMIENTOS ↔ PROTOTIPO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</row>
    <row r="2" ht="21.95" customHeight="1" s="12">
      <c r="A2" s="20" t="inlineStr">
        <is>
          <t>REQUERIMIENTO</t>
        </is>
      </c>
      <c r="B2" s="21" t="n"/>
      <c r="C2" s="21" t="n"/>
      <c r="D2" s="22" t="n"/>
      <c r="E2" s="20" t="inlineStr">
        <is>
          <t>UBICACIÓN EN EL PROTOTIPO</t>
        </is>
      </c>
      <c r="F2" s="21" t="n"/>
      <c r="G2" s="21" t="n"/>
      <c r="H2" s="22" t="n"/>
      <c r="I2" s="20" t="inlineStr">
        <is>
          <t>VALIDACIÓN</t>
        </is>
      </c>
      <c r="J2" s="22" t="n"/>
    </row>
    <row r="3" ht="30" customHeight="1" s="12">
      <c r="A3" s="23" t="inlineStr">
        <is>
          <t>ID Req.</t>
        </is>
      </c>
      <c r="B3" s="23" t="inlineStr">
        <is>
          <t>Tipo</t>
        </is>
      </c>
      <c r="C3" s="23" t="inlineStr">
        <is>
          <t>Descripción
(breve)</t>
        </is>
      </c>
      <c r="D3" s="23" t="inlineStr">
        <is>
          <t>Prioridad</t>
        </is>
      </c>
      <c r="E3" s="23" t="inlineStr">
        <is>
          <t>ID Pantalla</t>
        </is>
      </c>
      <c r="F3" s="23" t="inlineStr">
        <is>
          <t>Nombre
Pantalla</t>
        </is>
      </c>
      <c r="G3" s="23" t="inlineStr">
        <is>
          <t>Sección /
Componente</t>
        </is>
      </c>
      <c r="H3" s="23" t="inlineStr">
        <is>
          <t>Cobertura</t>
        </is>
      </c>
      <c r="I3" s="23" t="inlineStr">
        <is>
          <t>Validado
con cliente</t>
        </is>
      </c>
      <c r="J3" s="23" t="inlineStr">
        <is>
          <t>Observaciones</t>
        </is>
      </c>
    </row>
    <row r="4" ht="42" customHeight="1" s="12">
      <c r="A4" s="4" t="inlineStr">
        <is>
          <t>RF-01</t>
        </is>
      </c>
      <c r="B4" s="4" t="inlineStr">
        <is>
          <t>RF</t>
        </is>
      </c>
      <c r="C4" s="4" t="inlineStr">
        <is>
          <t>Monitor de signos vitales con valores base y modo 2D/3D</t>
        </is>
      </c>
      <c r="D4" s="4" t="inlineStr">
        <is>
          <t>Must have</t>
        </is>
      </c>
      <c r="E4" s="4" t="inlineStr">
        <is>
          <t>PNT-03</t>
        </is>
      </c>
      <c r="F4" s="4" t="inlineStr">
        <is>
          <t>Sesión de Caso Clínico</t>
        </is>
      </c>
      <c r="G4" s="4" t="inlineStr">
        <is>
          <t>Componente 'Monitor de signos vitales' con valores FC, FR, SpO2, PA, temperatura y selector 2D/3D.</t>
        </is>
      </c>
      <c r="H4" s="5" t="inlineStr">
        <is>
          <t>Cubierto</t>
        </is>
      </c>
      <c r="I4" s="4" t="inlineStr">
        <is>
          <t>Sí</t>
        </is>
      </c>
      <c r="J4" s="4" t="inlineStr">
        <is>
          <t>Visible al iniciar un caso clínico.</t>
        </is>
      </c>
    </row>
    <row r="5" ht="42" customHeight="1" s="12">
      <c r="A5" s="4" t="inlineStr">
        <is>
          <t>RF-02</t>
        </is>
      </c>
      <c r="B5" s="4" t="inlineStr">
        <is>
          <t>RF</t>
        </is>
      </c>
      <c r="C5" s="4" t="inlineStr">
        <is>
          <t>Resolución de casos con preguntas de opción múltiple</t>
        </is>
      </c>
      <c r="D5" s="4" t="inlineStr">
        <is>
          <t>Must have</t>
        </is>
      </c>
      <c r="E5" s="4" t="inlineStr">
        <is>
          <t>PNT-03</t>
        </is>
      </c>
      <c r="F5" s="4" t="inlineStr">
        <is>
          <t>Sesión de Caso Clínico</t>
        </is>
      </c>
      <c r="G5" s="4" t="inlineStr">
        <is>
          <t>Pregunta activa con opciones A, B, C y D y botón 'Confirmar respuesta'.</t>
        </is>
      </c>
      <c r="H5" s="5" t="inlineStr">
        <is>
          <t>Cubierto</t>
        </is>
      </c>
      <c r="I5" s="4" t="inlineStr">
        <is>
          <t>Sí</t>
        </is>
      </c>
      <c r="J5" s="4" t="inlineStr">
        <is>
          <t>La respuesta queda registrada en la sesión.</t>
        </is>
      </c>
    </row>
    <row r="6" ht="42" customHeight="1" s="12">
      <c r="A6" s="4" t="inlineStr">
        <is>
          <t>RF-03</t>
        </is>
      </c>
      <c r="B6" s="4" t="inlineStr">
        <is>
          <t>RF</t>
        </is>
      </c>
      <c r="C6" s="4" t="inlineStr">
        <is>
          <t>Retroalimentación textual después de responder</t>
        </is>
      </c>
      <c r="D6" s="4" t="inlineStr">
        <is>
          <t>Must have</t>
        </is>
      </c>
      <c r="E6" s="4" t="inlineStr">
        <is>
          <t>PNT-03 / PNT-04</t>
        </is>
      </c>
      <c r="F6" s="4" t="inlineStr">
        <is>
          <t>Sesión de Caso / Resultados</t>
        </is>
      </c>
      <c r="G6" s="4" t="inlineStr">
        <is>
          <t>Panel de respuesta correcta/incorrecta, justificación clínica y concepto relacionado; resumen final por pregunta.</t>
        </is>
      </c>
      <c r="H6" s="5" t="inlineStr">
        <is>
          <t>Cubierto</t>
        </is>
      </c>
      <c r="I6" s="4" t="inlineStr">
        <is>
          <t>Sí</t>
        </is>
      </c>
      <c r="J6" s="4" t="inlineStr">
        <is>
          <t>La retroalimentación se configura desde el editor del caso.</t>
        </is>
      </c>
    </row>
    <row r="7" ht="42" customHeight="1" s="12">
      <c r="A7" s="4" t="inlineStr">
        <is>
          <t>RF-04</t>
        </is>
      </c>
      <c r="B7" s="4" t="inlineStr">
        <is>
          <t>RF</t>
        </is>
      </c>
      <c r="C7" s="4" t="inlineStr">
        <is>
          <t>Login con Google y perfiles docente/alumno</t>
        </is>
      </c>
      <c r="D7" s="4" t="inlineStr">
        <is>
          <t>Must have</t>
        </is>
      </c>
      <c r="E7" s="4" t="inlineStr">
        <is>
          <t>PNT-01</t>
        </is>
      </c>
      <c r="F7" s="4" t="inlineStr">
        <is>
          <t>Inicio de Sesión</t>
        </is>
      </c>
      <c r="G7" s="4" t="inlineStr">
        <is>
          <t>Botón 'Continuar con Google' y redirección automática según rol a vista docente o alumno.</t>
        </is>
      </c>
      <c r="H7" s="5" t="inlineStr">
        <is>
          <t>Cubierto</t>
        </is>
      </c>
      <c r="I7" s="4" t="inlineStr">
        <is>
          <t>Sí</t>
        </is>
      </c>
      <c r="J7" s="4" t="inlineStr">
        <is>
          <t>Implementado con Firebase Authentication.</t>
        </is>
      </c>
    </row>
    <row r="8" ht="42" customHeight="1" s="12">
      <c r="A8" s="4" t="inlineStr">
        <is>
          <t>RF-05</t>
        </is>
      </c>
      <c r="B8" s="4" t="inlineStr">
        <is>
          <t>RF</t>
        </is>
      </c>
      <c r="C8" s="4" t="inlineStr">
        <is>
          <t>Temporizador y comodín 50/50</t>
        </is>
      </c>
      <c r="D8" s="4" t="inlineStr">
        <is>
          <t>Should have</t>
        </is>
      </c>
      <c r="E8" s="4" t="inlineStr">
        <is>
          <t>PNT-03</t>
        </is>
      </c>
      <c r="F8" s="4" t="inlineStr">
        <is>
          <t>Sesión de Caso Clínico</t>
        </is>
      </c>
      <c r="G8" s="4" t="inlineStr">
        <is>
          <t>Temporizador visible cuando el caso tiene duración y botón 'Comodín 50/50'.</t>
        </is>
      </c>
      <c r="H8" s="5" t="inlineStr">
        <is>
          <t>Cubierto</t>
        </is>
      </c>
      <c r="I8" s="4" t="inlineStr">
        <is>
          <t>Sí</t>
        </is>
      </c>
      <c r="J8" s="4" t="inlineStr">
        <is>
          <t>El comodín se usa una sola vez por sesión.</t>
        </is>
      </c>
    </row>
    <row r="9" ht="42" customHeight="1" s="12">
      <c r="A9" s="4" t="inlineStr">
        <is>
          <t>RF-06</t>
        </is>
      </c>
      <c r="B9" s="4" t="inlineStr">
        <is>
          <t>RF</t>
        </is>
      </c>
      <c r="C9" s="4" t="inlineStr">
        <is>
          <t>Administración docente de casos clínicos</t>
        </is>
      </c>
      <c r="D9" s="4" t="inlineStr">
        <is>
          <t>Must have</t>
        </is>
      </c>
      <c r="E9" s="4" t="inlineStr">
        <is>
          <t>PNT-05 / PNT-06</t>
        </is>
      </c>
      <c r="F9" s="4" t="inlineStr">
        <is>
          <t>Banco de Casos / Editor de Caso</t>
        </is>
      </c>
      <c r="G9" s="4" t="inlineStr">
        <is>
          <t>Botones de crear, editar, publicar/despublicar y eliminar; formulario de datos clínicos, signos vitales y preguntas.</t>
        </is>
      </c>
      <c r="H9" s="5" t="inlineStr">
        <is>
          <t>Cubierto</t>
        </is>
      </c>
      <c r="I9" s="4" t="inlineStr">
        <is>
          <t>Sí</t>
        </is>
      </c>
      <c r="J9" s="4" t="inlineStr">
        <is>
          <t>Flujo principal del rol docente.</t>
        </is>
      </c>
    </row>
    <row r="10" ht="42" customHeight="1" s="12">
      <c r="A10" s="4" t="inlineStr">
        <is>
          <t>RF-07</t>
        </is>
      </c>
      <c r="B10" s="4" t="inlineStr">
        <is>
          <t>RF</t>
        </is>
      </c>
      <c r="C10" s="4" t="inlineStr">
        <is>
          <t>Reportes de resultados para docente</t>
        </is>
      </c>
      <c r="D10" s="4" t="inlineStr">
        <is>
          <t>Must have</t>
        </is>
      </c>
      <c r="E10" s="4" t="inlineStr">
        <is>
          <t>PNT-07</t>
        </is>
      </c>
      <c r="F10" s="4" t="inlineStr">
        <is>
          <t>Reportes de Resultados</t>
        </is>
      </c>
      <c r="G10" s="4" t="inlineStr">
        <is>
          <t>Tabla de resultados, filtros por alumno/caso/fecha, resumen visual y exportación CSV.</t>
        </is>
      </c>
      <c r="H10" s="5" t="inlineStr">
        <is>
          <t>Cubierto</t>
        </is>
      </c>
      <c r="I10" s="4" t="inlineStr">
        <is>
          <t>Sí</t>
        </is>
      </c>
      <c r="J10" s="4" t="inlineStr">
        <is>
          <t>Permite revisar desempeño individual y grupal.</t>
        </is>
      </c>
    </row>
    <row r="11" ht="42" customHeight="1" s="12">
      <c r="A11" s="4" t="inlineStr">
        <is>
          <t>RF-08</t>
        </is>
      </c>
      <c r="B11" s="4" t="inlineStr">
        <is>
          <t>RF</t>
        </is>
      </c>
      <c r="C11" s="4" t="inlineStr">
        <is>
          <t>Gestión de usuarios docentes y estudiantes</t>
        </is>
      </c>
      <c r="D11" s="4" t="inlineStr">
        <is>
          <t>Should have</t>
        </is>
      </c>
      <c r="E11" s="4" t="inlineStr">
        <is>
          <t>PNT-08</t>
        </is>
      </c>
      <c r="F11" s="4" t="inlineStr">
        <is>
          <t>Gestión de Usuarios</t>
        </is>
      </c>
      <c r="G11" s="4" t="inlineStr">
        <is>
          <t>Pestañas de estudiantes/docentes, formularios de registro, activación/desactivación y eliminación.</t>
        </is>
      </c>
      <c r="H11" s="5" t="inlineStr">
        <is>
          <t>Cubierto</t>
        </is>
      </c>
      <c r="I11" s="4" t="inlineStr">
        <is>
          <t>No</t>
        </is>
      </c>
      <c r="J11" s="4" t="inlineStr">
        <is>
          <t>Validado internamente; requiere confirmación final del cliente si se considera parte del alcance Must-have.</t>
        </is>
      </c>
    </row>
    <row r="12" ht="42" customHeight="1" s="12">
      <c r="A12" s="4" t="inlineStr">
        <is>
          <t>RNF-01</t>
        </is>
      </c>
      <c r="B12" s="4" t="inlineStr">
        <is>
          <t>RNF</t>
        </is>
      </c>
      <c r="C12" s="4" t="inlineStr">
        <is>
          <t>Interfaz intuitiva para estudiantes de enfermería</t>
        </is>
      </c>
      <c r="D12" s="4" t="inlineStr">
        <is>
          <t>Must have</t>
        </is>
      </c>
      <c r="E12" s="4" t="inlineStr">
        <is>
          <t>PNT-01 a PNT-08</t>
        </is>
      </c>
      <c r="F12" s="4" t="inlineStr">
        <is>
          <t>Todas las pantallas</t>
        </is>
      </c>
      <c r="G12" s="4" t="inlineStr">
        <is>
          <t>Navegación por rol, textos claros, botones identificables y flujo guiado para resolver casos.</t>
        </is>
      </c>
      <c r="H12" s="5" t="inlineStr">
        <is>
          <t>Cubierto</t>
        </is>
      </c>
      <c r="I12" s="4" t="inlineStr">
        <is>
          <t>Sí</t>
        </is>
      </c>
      <c r="J12" s="4" t="inlineStr">
        <is>
          <t>Se valida mediante revisión de prototipo y prueba de uso.</t>
        </is>
      </c>
    </row>
    <row r="13" ht="42" customHeight="1" s="12">
      <c r="A13" s="4" t="inlineStr">
        <is>
          <t>RNF-02</t>
        </is>
      </c>
      <c r="B13" s="4" t="inlineStr">
        <is>
          <t>RNF</t>
        </is>
      </c>
      <c r="C13" s="4" t="inlineStr">
        <is>
          <t>Persistencia de datos en base de datos en la nube</t>
        </is>
      </c>
      <c r="D13" s="4" t="inlineStr">
        <is>
          <t>Must have</t>
        </is>
      </c>
      <c r="E13" s="4" t="inlineStr">
        <is>
          <t>No aplica al prototipo</t>
        </is>
      </c>
      <c r="F13" s="4" t="inlineStr">
        <is>
          <t>Implementación técnica</t>
        </is>
      </c>
      <c r="G13" s="4" t="inlineStr">
        <is>
          <t>No es visible como pantalla; se refleja en que los datos permanecen al cerrar sesión o cambiar de dispositivo.</t>
        </is>
      </c>
      <c r="H13" s="5" t="inlineStr">
        <is>
          <t>No aplica al prototipo</t>
        </is>
      </c>
      <c r="I13" s="4" t="inlineStr">
        <is>
          <t>No</t>
        </is>
      </c>
      <c r="J13" s="4" t="inlineStr">
        <is>
          <t>Se valida con pruebas de persistencia en Firestore.</t>
        </is>
      </c>
    </row>
    <row r="14" ht="42" customHeight="1" s="12">
      <c r="A14" s="4" t="inlineStr">
        <is>
          <t>RNF-03</t>
        </is>
      </c>
      <c r="B14" s="4" t="inlineStr">
        <is>
          <t>RNF</t>
        </is>
      </c>
      <c r="C14" s="4" t="inlineStr">
        <is>
          <t>Acceso vía web en navegador estándar</t>
        </is>
      </c>
      <c r="D14" s="4" t="inlineStr">
        <is>
          <t>Must have</t>
        </is>
      </c>
      <c r="E14" s="4" t="inlineStr">
        <is>
          <t>No aplica al prototipo</t>
        </is>
      </c>
      <c r="F14" s="4" t="inlineStr">
        <is>
          <t>Despliegue</t>
        </is>
      </c>
      <c r="G14" s="4" t="inlineStr">
        <is>
          <t>No corresponde a un componente visual; se valida al ingresar a la URL pública desde un navegador.</t>
        </is>
      </c>
      <c r="H14" s="5" t="inlineStr">
        <is>
          <t>No aplica al prototipo</t>
        </is>
      </c>
      <c r="I14" s="4" t="inlineStr">
        <is>
          <t>No</t>
        </is>
      </c>
      <c r="J14" s="4" t="inlineStr">
        <is>
          <t>Prototipo publicado en Firebase Hosting.</t>
        </is>
      </c>
    </row>
    <row r="15" ht="42" customHeight="1" s="12">
      <c r="A15" s="4" t="inlineStr">
        <is>
          <t>RNF-04</t>
        </is>
      </c>
      <c r="B15" s="4" t="inlineStr">
        <is>
          <t>RNF</t>
        </is>
      </c>
      <c r="C15" s="4" t="inlineStr">
        <is>
          <t>Diseño responsive para tablets y computadoras</t>
        </is>
      </c>
      <c r="D15" s="4" t="inlineStr">
        <is>
          <t>Should have</t>
        </is>
      </c>
      <c r="E15" s="4" t="inlineStr">
        <is>
          <t>PNT-01 a PNT-08</t>
        </is>
      </c>
      <c r="F15" s="4" t="inlineStr">
        <is>
          <t>Todas las pantallas</t>
        </is>
      </c>
      <c r="G15" s="4" t="inlineStr">
        <is>
          <t>Distribución adaptable, contenedores responsivos y monitor de signos vitales legible.</t>
        </is>
      </c>
      <c r="H15" s="5" t="inlineStr">
        <is>
          <t>Cubierto</t>
        </is>
      </c>
      <c r="I15" s="4" t="inlineStr">
        <is>
          <t>No</t>
        </is>
      </c>
      <c r="J15" s="4" t="inlineStr">
        <is>
          <t>Se valida con pruebas visuales en distintos tamaños de pantalla.</t>
        </is>
      </c>
    </row>
    <row r="16">
      <c r="A16" s="4" t="inlineStr">
        <is>
          <t>RNF-05</t>
        </is>
      </c>
      <c r="B16" s="4" t="inlineStr">
        <is>
          <t>RNF</t>
        </is>
      </c>
      <c r="C16" s="4" t="inlineStr">
        <is>
          <t>Seguridad mediante autenticación y roles</t>
        </is>
      </c>
      <c r="D16" s="4" t="inlineStr">
        <is>
          <t>Must have</t>
        </is>
      </c>
      <c r="E16" s="4" t="inlineStr">
        <is>
          <t>No aplica al prototipo</t>
        </is>
      </c>
      <c r="F16" s="4" t="inlineStr">
        <is>
          <t>Implementación técnica</t>
        </is>
      </c>
      <c r="G16" s="4" t="inlineStr">
        <is>
          <t>No es totalmente visible en una pantalla; se refleja en el login y en las restricciones de acceso por rol.</t>
        </is>
      </c>
      <c r="H16" s="5" t="inlineStr">
        <is>
          <t>No aplica al prototipo</t>
        </is>
      </c>
      <c r="I16" s="4" t="inlineStr">
        <is>
          <t>No</t>
        </is>
      </c>
      <c r="J16" s="4" t="inlineStr">
        <is>
          <t>Se valida con cuentas de docente/alumno y reglas de Firestore.</t>
        </is>
      </c>
    </row>
    <row r="17"/>
    <row r="18"/>
    <row r="19"/>
    <row r="20"/>
    <row r="21"/>
    <row r="22"/>
    <row r="23"/>
    <row r="24"/>
    <row r="25"/>
  </sheetData>
  <autoFilter ref="A3:J200"/>
  <mergeCells count="4">
    <mergeCell ref="A1:J1"/>
    <mergeCell ref="E2:H2"/>
    <mergeCell ref="I2:J2"/>
    <mergeCell ref="A2:D2"/>
  </mergeCells>
  <dataValidations count="2">
    <dataValidation sqref="H4:H200" showDropDown="0" showInputMessage="0" showErrorMessage="0" allowBlank="1" type="list">
      <formula1>"Cubierto,Parcialmente cubierto,No cubierto,No aplica al prototipo"</formula1>
    </dataValidation>
    <dataValidation sqref="I4:I200" showDropDown="0" showInputMessage="0" showErrorMessage="0" allowBlank="1" type="list">
      <formula1>"Sí,No,—"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:D1"/>
    </sheetView>
  </sheetViews>
  <sheetFormatPr baseColWidth="10" defaultColWidth="9.140625" defaultRowHeight="15"/>
  <cols>
    <col width="45" customWidth="1" style="12" min="1" max="1"/>
    <col width="20" customWidth="1" style="12" min="2" max="2"/>
  </cols>
  <sheetData>
    <row r="1" ht="27.95" customHeight="1" s="12">
      <c r="A1" s="17" t="inlineStr">
        <is>
          <t>RESUMEN DE COBERTURA DE REQUERIMIENTOS EN EL PROTOTIPO</t>
        </is>
      </c>
    </row>
    <row r="3">
      <c r="A3" s="18" t="inlineStr">
        <is>
          <t>Este resumen se actualiza automáticamente con los datos de la hoja Trazabilidad.</t>
        </is>
      </c>
    </row>
    <row r="5">
      <c r="A5" s="9" t="inlineStr">
        <is>
          <t>Métrica</t>
        </is>
      </c>
      <c r="B5" s="9" t="inlineStr">
        <is>
          <t>Valor</t>
        </is>
      </c>
    </row>
    <row r="6">
      <c r="A6" s="10" t="inlineStr">
        <is>
          <t>Total de requerimientos en la matriz</t>
        </is>
      </c>
      <c r="B6" s="10">
        <f>COUNTA(Trazabilidad!A4:A200)</f>
        <v/>
      </c>
    </row>
    <row r="7">
      <c r="A7" s="10" t="inlineStr">
        <is>
          <t>Cubiertos completamente</t>
        </is>
      </c>
      <c r="B7" s="10">
        <f>COUNTIF(Trazabilidad!H4:H200,"Cubierto")</f>
        <v/>
      </c>
    </row>
    <row r="8">
      <c r="A8" s="10" t="inlineStr">
        <is>
          <t>Parcialmente cubiertos</t>
        </is>
      </c>
      <c r="B8" s="10">
        <f>COUNTIF(Trazabilidad!H4:H200,"Parcialmente cubierto")</f>
        <v/>
      </c>
    </row>
    <row r="9">
      <c r="A9" s="10" t="inlineStr">
        <is>
          <t>No cubiertos</t>
        </is>
      </c>
      <c r="B9" s="10">
        <f>COUNTIF(Trazabilidad!H4:H200,"No cubierto")</f>
        <v/>
      </c>
    </row>
    <row r="10">
      <c r="A10" s="10" t="inlineStr">
        <is>
          <t>No aplican al prototipo</t>
        </is>
      </c>
      <c r="B10" s="10">
        <f>COUNTIF(Trazabilidad!H4:H200,"No aplica al prototipo")</f>
        <v/>
      </c>
    </row>
    <row r="12">
      <c r="A12" s="10" t="inlineStr">
        <is>
          <t>Validados con cliente (Sí)</t>
        </is>
      </c>
      <c r="B12" s="10">
        <f>COUNTIF(Trazabilidad!I4:I200,"Sí")</f>
        <v/>
      </c>
    </row>
    <row r="13">
      <c r="A13" s="10" t="inlineStr">
        <is>
          <t>Pendientes de validación con cliente (No)</t>
        </is>
      </c>
      <c r="B13" s="10">
        <f>COUNTIF(Trazabilidad!I4:I200,"No")</f>
        <v/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2026-05-28T16:50:59Z</dcterms:created>
  <dcterms:modified xmlns:dcterms="http://purl.org/dc/terms/" xmlns:xsi="http://www.w3.org/2001/XMLSchema-instance" xsi:type="dcterms:W3CDTF">2026-05-28T18:16:26Z</dcterms:modified>
  <cp:lastModifiedBy>CARLOS ARGELIO AREVALO MERCADO</cp:lastModifiedBy>
</cp:coreProperties>
</file>