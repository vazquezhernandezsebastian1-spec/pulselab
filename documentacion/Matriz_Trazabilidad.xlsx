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eduuaa-my.sharepoint.com/personal/carlos_arevalo_edu_uaa_mx/Documents/01 - DOCENCIA/00 - MATERIAS POR AÑO/2026/MODELADO DE REQUERIMIENTOS/07 - PROYECTOS FINAL/"/>
    </mc:Choice>
  </mc:AlternateContent>
  <xr:revisionPtr revIDLastSave="2" documentId="11_87C9132CCE89B3A3A48AF00177B34B79984585D9" xr6:coauthVersionLast="47" xr6:coauthVersionMax="47" xr10:uidLastSave="{C85D9DA2-ADE7-40C7-856F-B73AC18928AF}"/>
  <bookViews>
    <workbookView xWindow="-120" yWindow="-120" windowWidth="20730" windowHeight="11040" xr2:uid="{00000000-000D-0000-FFFF-FFFF00000000}"/>
  </bookViews>
  <sheets>
    <sheet name="Instrucciones" sheetId="1" r:id="rId1"/>
    <sheet name="Trazabilidad" sheetId="2" r:id="rId2"/>
    <sheet name="Resumen Cobertura" sheetId="3" r:id="rId3"/>
  </sheets>
  <definedNames>
    <definedName name="_xlnm._FilterDatabase" localSheetId="1" hidden="1">Trazabilidad!$A$3:$J$200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3" l="1"/>
  <c r="B12" i="3"/>
  <c r="B10" i="3"/>
  <c r="B9" i="3"/>
  <c r="B8" i="3"/>
  <c r="B7" i="3"/>
  <c r="B6" i="3"/>
</calcChain>
</file>

<file path=xl/sharedStrings.xml><?xml version="1.0" encoding="utf-8"?>
<sst xmlns="http://schemas.openxmlformats.org/spreadsheetml/2006/main" count="148" uniqueCount="102">
  <si>
    <t>MATRIZ DE TRAZABILIDAD — INSTRUCCIONES</t>
  </si>
  <si>
    <t>¿Qué es la Matriz de Trazabilidad?</t>
  </si>
  <si>
    <t>Documenta la relación entre cada requerimiento de la matriz y su implementación visible en el prototipo. Permite demostrar que el prototipo cubre los requerimientos especificados y que ninguno quedó sin representar.</t>
  </si>
  <si>
    <t>¿Cómo llenar esta matriz?</t>
  </si>
  <si>
    <t>1. Copien los IDs de requerimientos desde Matriz_Requerimientos.xlsx (columna ID).</t>
  </si>
  <si>
    <t>2. Para cada requerimiento, identifiquen en qué pantalla(s) del prototipo es visible.</t>
  </si>
  <si>
    <t>3. Indiquen la sección o componente específico dentro de la pantalla (ej: 'Formulario sección 2 - campo Diagnóstico').</t>
  </si>
  <si>
    <t>4. Asignen el estado de cobertura con el menú desplegable.</t>
  </si>
  <si>
    <t>5. Marquen si fue validado con el cliente durante la sesión de revisión del prototipo.</t>
  </si>
  <si>
    <t>6. Agreguen observaciones si el requerimiento fue ajustado o está pendiente.</t>
  </si>
  <si>
    <t>Estados de cobertura:</t>
  </si>
  <si>
    <t xml:space="preserve">  • Cubierto: El prototipo implementa completamente el requerimiento tal como fue especificado.</t>
  </si>
  <si>
    <t xml:space="preserve">  • Parcialmente cubierto: El prototipo muestra parte del requerimiento. Indicar qué falta en Observaciones.</t>
  </si>
  <si>
    <t xml:space="preserve">  • No cubierto: El requerimiento NO está representado en el prototipo (ej: RNF de rendimiento).</t>
  </si>
  <si>
    <t xml:space="preserve">  • No aplica al prototipo: Requerimientos que por naturaleza no son visibles (ej: respaldos automáticos).</t>
  </si>
  <si>
    <t>Consejo:</t>
  </si>
  <si>
    <t>Los RNF técnicos (rendimiento, seguridad, disponibilidad) generalmente NO se cubren con prototipo HTML. Márcalos como 'No aplica al prototipo' y anota cómo se validarán más adelante.</t>
  </si>
  <si>
    <t>MATRIZ DE TRAZABILIDAD — REQUERIMIENTOS ↔ PROTOTIPO</t>
  </si>
  <si>
    <t>REQUERIMIENTO</t>
  </si>
  <si>
    <t>UBICACIÓN EN EL PROTOTIPO</t>
  </si>
  <si>
    <t>VALIDACIÓN</t>
  </si>
  <si>
    <t>ID Req.</t>
  </si>
  <si>
    <t>Tipo</t>
  </si>
  <si>
    <t>Descripción
(breve)</t>
  </si>
  <si>
    <t>Prioridad</t>
  </si>
  <si>
    <t>ID Pantalla</t>
  </si>
  <si>
    <t>Nombre
Pantalla</t>
  </si>
  <si>
    <t>Sección /
Componente</t>
  </si>
  <si>
    <t>Cobertura</t>
  </si>
  <si>
    <t>Validado
con cliente</t>
  </si>
  <si>
    <t>Observaciones</t>
  </si>
  <si>
    <t>RF-01</t>
  </si>
  <si>
    <t>RF</t>
  </si>
  <si>
    <t>Capturar guías de valoración en línea con plantillas predefinidas</t>
  </si>
  <si>
    <t>Must have</t>
  </si>
  <si>
    <t>PNT-03</t>
  </si>
  <si>
    <t>Captura de Guía</t>
  </si>
  <si>
    <t>Formulario principal con secciones por patrón de salud</t>
  </si>
  <si>
    <t>Cubierto</t>
  </si>
  <si>
    <t>Sí</t>
  </si>
  <si>
    <t>RF-02</t>
  </si>
  <si>
    <t>Guardar guía parcialmente completa y continuarla después</t>
  </si>
  <si>
    <t>Botón 'Guardar borrador' en barra de acciones</t>
  </si>
  <si>
    <t>RF-03</t>
  </si>
  <si>
    <t>Consultar guías previas del mismo paciente</t>
  </si>
  <si>
    <t>PNT-04</t>
  </si>
  <si>
    <t>Historial del Paciente</t>
  </si>
  <si>
    <t>Lista de guías previas con fecha y área clínica</t>
  </si>
  <si>
    <t>RF-04</t>
  </si>
  <si>
    <t>Generar PDF de la guía para impresión</t>
  </si>
  <si>
    <t>Botón 'Exportar PDF' en detalle de guía</t>
  </si>
  <si>
    <t>RF-05</t>
  </si>
  <si>
    <t>Tres niveles de acceso: estudiante, docente, coordinador</t>
  </si>
  <si>
    <t>PNT-01</t>
  </si>
  <si>
    <t>Login</t>
  </si>
  <si>
    <t>Menú diferenciado tras autenticación según rol</t>
  </si>
  <si>
    <t>Menú cambia según rol seleccionado</t>
  </si>
  <si>
    <t>RF-06</t>
  </si>
  <si>
    <t>Validar campos obligatorios antes de finalizar la guía</t>
  </si>
  <si>
    <t>Mensajes de error en línea al intentar finalizar</t>
  </si>
  <si>
    <t>Parcialmente cubierto</t>
  </si>
  <si>
    <t>Falta validación de tipo de dato en campos numéricos</t>
  </si>
  <si>
    <t>RF-07</t>
  </si>
  <si>
    <t>Editar plantillas de guías (solo coordinador)</t>
  </si>
  <si>
    <t>Should have</t>
  </si>
  <si>
    <t>PNT-06</t>
  </si>
  <si>
    <t>Admin Plantillas</t>
  </si>
  <si>
    <t>Panel de configuración de campos por área clínica</t>
  </si>
  <si>
    <t>No</t>
  </si>
  <si>
    <t>Pendiente revisión en siguiente reunión</t>
  </si>
  <si>
    <t>RF-08</t>
  </si>
  <si>
    <t>Registro automático de fecha/hora de modificación</t>
  </si>
  <si>
    <t>No aplica al prototipo</t>
  </si>
  <si>
    <t>—</t>
  </si>
  <si>
    <t>RNF técnico, no visible en prototipo HTML estático</t>
  </si>
  <si>
    <t>RF-09</t>
  </si>
  <si>
    <t>Retroalimentación docente en guías del estudiante</t>
  </si>
  <si>
    <t>PNT-05</t>
  </si>
  <si>
    <t>Revisión Docente</t>
  </si>
  <si>
    <t>Campo de texto 'Comentarios del docente' al final de la guía</t>
  </si>
  <si>
    <t>RNF-01</t>
  </si>
  <si>
    <t>RNF</t>
  </si>
  <si>
    <t>Accesible desde dispositivos móviles sin instalación</t>
  </si>
  <si>
    <t>Vista responsive verificada en pantalla móvil (375px)</t>
  </si>
  <si>
    <t>Pendiente verificar en dispositivo físico con cliente</t>
  </si>
  <si>
    <t>RNF-02</t>
  </si>
  <si>
    <t>Cumplir Ley de Protección de Datos (datos sensibles de salud)</t>
  </si>
  <si>
    <t>Se documenta en criterio de aceptación; implementar en backend</t>
  </si>
  <si>
    <t>RNF-03</t>
  </si>
  <si>
    <t>Respuesta en menos de 3 seg con 40 usuarios concurrentes</t>
  </si>
  <si>
    <t>Requerimiento de rendimiento; validar en implementación real</t>
  </si>
  <si>
    <t>RESUMEN DE COBERTURA DE REQUERIMIENTOS EN EL PROTOTIPO</t>
  </si>
  <si>
    <t>Este resumen se actualiza automáticamente con los datos de la hoja Trazabilidad.</t>
  </si>
  <si>
    <t>Métrica</t>
  </si>
  <si>
    <t>Valor</t>
  </si>
  <si>
    <t>Total de requerimientos en la matriz</t>
  </si>
  <si>
    <t>Cubiertos completamente</t>
  </si>
  <si>
    <t>Parcialmente cubiertos</t>
  </si>
  <si>
    <t>No cubiertos</t>
  </si>
  <si>
    <t>No aplican al prototipo</t>
  </si>
  <si>
    <t>Validados con cliente (Sí)</t>
  </si>
  <si>
    <t>Pendientes de validación con cliente (No)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</si>
</sst>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6"/>
      <color rgb="FF1F4E79"/>
      <name val="Arial"/>
    </font>
    <font>
      <b/>
      <sz val="11"/>
      <color rgb="FF1F4E79"/>
      <name val="Arial"/>
    </font>
    <font>
      <sz val="11"/>
      <color rgb="FF404040"/>
      <name val="Arial"/>
    </font>
    <font>
      <b/>
      <sz val="14"/>
      <color rgb="FFFFFFFF"/>
      <name val="Arial"/>
    </font>
    <font>
      <b/>
      <sz val="10"/>
      <color rgb="FFFFFFFF"/>
      <name val="Arial"/>
    </font>
    <font>
      <b/>
      <sz val="11"/>
      <color rgb="FFFFFFFF"/>
      <name val="Arial"/>
    </font>
    <font>
      <sz val="10"/>
      <name val="Arial"/>
    </font>
    <font>
      <b/>
      <sz val="14"/>
      <color rgb="FF1F4E79"/>
      <name val="Arial"/>
    </font>
    <font>
      <i/>
      <sz val="10"/>
      <color rgb="FF595959"/>
      <name val="Arial"/>
    </font>
  </fonts>
  <fills count="12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2E74B5"/>
        <bgColor rgb="FF2E74B5"/>
      </patternFill>
    </fill>
    <fill>
      <patternFill patternType="solid">
        <fgColor rgb="FF375623"/>
        <bgColor rgb="FF375623"/>
      </patternFill>
    </fill>
    <fill>
      <patternFill patternType="solid">
        <fgColor rgb="FF833C00"/>
        <bgColor rgb="FF833C00"/>
      </patternFill>
    </fill>
    <fill>
      <patternFill patternType="solid">
        <fgColor rgb="FFFFFFFF"/>
        <bgColor rgb="FFFFFFFF"/>
      </patternFill>
    </fill>
    <fill>
      <patternFill patternType="solid">
        <fgColor rgb="FFE2EFDA"/>
        <bgColor rgb="FFE2EFDA"/>
      </patternFill>
    </fill>
    <fill>
      <patternFill patternType="solid">
        <fgColor rgb="FFF8F8F8"/>
        <bgColor rgb="FFF8F8F8"/>
      </patternFill>
    </fill>
    <fill>
      <patternFill patternType="solid">
        <fgColor rgb="FFFFF2CC"/>
        <bgColor rgb="FFFFF2CC"/>
      </patternFill>
    </fill>
    <fill>
      <patternFill patternType="solid">
        <fgColor rgb="FFEDEDED"/>
        <bgColor rgb="FFEDEDED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6" fillId="2" borderId="1" xfId="0" applyFont="1" applyFill="1" applyBorder="1" applyAlignment="1">
      <alignment horizontal="center" vertical="top" wrapText="1"/>
    </xf>
    <xf numFmtId="0" fontId="7" fillId="6" borderId="1" xfId="0" applyFont="1" applyFill="1" applyBorder="1" applyAlignment="1">
      <alignment vertical="top" wrapText="1"/>
    </xf>
    <xf numFmtId="0" fontId="7" fillId="7" borderId="1" xfId="0" applyFont="1" applyFill="1" applyBorder="1" applyAlignment="1">
      <alignment vertical="top" wrapText="1"/>
    </xf>
    <xf numFmtId="0" fontId="7" fillId="8" borderId="1" xfId="0" applyFont="1" applyFill="1" applyBorder="1" applyAlignment="1">
      <alignment vertical="top" wrapText="1"/>
    </xf>
    <xf numFmtId="0" fontId="7" fillId="9" borderId="1" xfId="0" applyFont="1" applyFill="1" applyBorder="1" applyAlignment="1">
      <alignment vertical="top" wrapText="1"/>
    </xf>
    <xf numFmtId="0" fontId="7" fillId="10" borderId="1" xfId="0" applyFont="1" applyFill="1" applyBorder="1" applyAlignment="1">
      <alignment vertical="top" wrapText="1"/>
    </xf>
    <xf numFmtId="0" fontId="2" fillId="11" borderId="1" xfId="0" applyFont="1" applyFill="1" applyBorder="1" applyAlignment="1">
      <alignment vertical="center" wrapText="1"/>
    </xf>
    <xf numFmtId="0" fontId="3" fillId="6" borderId="1" xfId="0" applyFont="1" applyFill="1" applyBorder="1" applyAlignment="1">
      <alignment vertical="center" wrapText="1"/>
    </xf>
    <xf numFmtId="0" fontId="1" fillId="0" borderId="0" xfId="0" applyFont="1"/>
    <xf numFmtId="0" fontId="0" fillId="0" borderId="0" xfId="0"/>
    <xf numFmtId="0" fontId="4" fillId="2" borderId="0" xfId="0" applyFont="1" applyFill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8" fillId="0" borderId="0" xfId="0" applyFont="1"/>
    <xf numFmtId="0" fontId="9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topLeftCell="A6" workbookViewId="0">
      <selection activeCell="A4" sqref="A4"/>
    </sheetView>
  </sheetViews>
  <sheetFormatPr baseColWidth="10" defaultColWidth="9.140625" defaultRowHeight="15" x14ac:dyDescent="0.25"/>
  <cols>
    <col min="1" max="1" width="110" customWidth="1"/>
  </cols>
  <sheetData>
    <row r="1" spans="1:7" ht="30" customHeight="1" x14ac:dyDescent="0.3">
      <c r="A1" s="11" t="s">
        <v>0</v>
      </c>
      <c r="B1" s="12"/>
      <c r="C1" s="12"/>
      <c r="D1" s="12"/>
      <c r="E1" s="12"/>
      <c r="F1" s="12"/>
      <c r="G1" s="12"/>
    </row>
    <row r="3" spans="1:7" ht="30" customHeight="1" x14ac:dyDescent="0.25">
      <c r="A3" s="1" t="s">
        <v>1</v>
      </c>
    </row>
    <row r="4" spans="1:7" ht="43.5" customHeight="1" x14ac:dyDescent="0.25">
      <c r="A4" s="2" t="s">
        <v>2</v>
      </c>
    </row>
    <row r="6" spans="1:7" ht="30" customHeight="1" x14ac:dyDescent="0.25">
      <c r="A6" s="1" t="s">
        <v>3</v>
      </c>
    </row>
    <row r="7" spans="1:7" ht="20.100000000000001" customHeight="1" x14ac:dyDescent="0.25">
      <c r="A7" s="2" t="s">
        <v>4</v>
      </c>
    </row>
    <row r="8" spans="1:7" ht="20.100000000000001" customHeight="1" x14ac:dyDescent="0.25">
      <c r="A8" s="2" t="s">
        <v>5</v>
      </c>
    </row>
    <row r="9" spans="1:7" ht="20.100000000000001" customHeight="1" x14ac:dyDescent="0.25">
      <c r="A9" s="2" t="s">
        <v>6</v>
      </c>
    </row>
    <row r="10" spans="1:7" ht="20.100000000000001" customHeight="1" x14ac:dyDescent="0.25">
      <c r="A10" s="2" t="s">
        <v>7</v>
      </c>
    </row>
    <row r="11" spans="1:7" ht="20.100000000000001" customHeight="1" x14ac:dyDescent="0.25">
      <c r="A11" s="2" t="s">
        <v>8</v>
      </c>
    </row>
    <row r="12" spans="1:7" ht="20.100000000000001" customHeight="1" x14ac:dyDescent="0.25">
      <c r="A12" s="2" t="s">
        <v>9</v>
      </c>
    </row>
    <row r="14" spans="1:7" ht="30" customHeight="1" x14ac:dyDescent="0.25">
      <c r="A14" s="1" t="s">
        <v>10</v>
      </c>
    </row>
    <row r="15" spans="1:7" ht="20.100000000000001" customHeight="1" x14ac:dyDescent="0.25">
      <c r="A15" s="2" t="s">
        <v>11</v>
      </c>
    </row>
    <row r="16" spans="1:7" ht="20.100000000000001" customHeight="1" x14ac:dyDescent="0.25">
      <c r="A16" s="2" t="s">
        <v>12</v>
      </c>
    </row>
    <row r="17" spans="1:1" ht="20.100000000000001" customHeight="1" x14ac:dyDescent="0.25">
      <c r="A17" s="2" t="s">
        <v>13</v>
      </c>
    </row>
    <row r="18" spans="1:1" ht="20.100000000000001" customHeight="1" x14ac:dyDescent="0.25">
      <c r="A18" s="2" t="s">
        <v>14</v>
      </c>
    </row>
    <row r="20" spans="1:1" ht="30" customHeight="1" x14ac:dyDescent="0.25">
      <c r="A20" s="1" t="s">
        <v>15</v>
      </c>
    </row>
    <row r="21" spans="1:1" ht="40.5" customHeight="1" x14ac:dyDescent="0.25">
      <c r="A21" s="2" t="s">
        <v>16</v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5"/>
  <sheetViews>
    <sheetView workbookViewId="0">
      <pane ySplit="3" topLeftCell="A9" activePane="bottomLeft" state="frozen"/>
      <selection pane="bottomLeft" sqref="A1:J1"/>
    </sheetView>
  </sheetViews>
  <sheetFormatPr baseColWidth="10" defaultColWidth="9.140625" defaultRowHeight="15" x14ac:dyDescent="0.25"/>
  <cols>
    <col min="1" max="1" width="10" customWidth="1"/>
    <col min="2" max="2" width="8" customWidth="1"/>
    <col min="3" max="3" width="35" customWidth="1"/>
    <col min="4" max="5" width="12" customWidth="1"/>
    <col min="6" max="6" width="22" customWidth="1"/>
    <col min="7" max="7" width="28" customWidth="1"/>
    <col min="8" max="8" width="18" customWidth="1"/>
    <col min="9" max="9" width="14" customWidth="1"/>
    <col min="10" max="10" width="30" customWidth="1"/>
  </cols>
  <sheetData>
    <row r="1" spans="1:10" ht="27.95" customHeight="1" x14ac:dyDescent="0.25">
      <c r="A1" s="13" t="s">
        <v>17</v>
      </c>
      <c r="B1" s="12"/>
      <c r="C1" s="12"/>
      <c r="D1" s="12"/>
      <c r="E1" s="12"/>
      <c r="F1" s="12"/>
      <c r="G1" s="12"/>
      <c r="H1" s="12"/>
      <c r="I1" s="12"/>
      <c r="J1" s="12"/>
    </row>
    <row r="2" spans="1:10" ht="21.95" customHeight="1" x14ac:dyDescent="0.25">
      <c r="A2" s="16" t="s">
        <v>18</v>
      </c>
      <c r="B2" s="12"/>
      <c r="C2" s="12"/>
      <c r="D2" s="12"/>
      <c r="E2" s="14" t="s">
        <v>19</v>
      </c>
      <c r="F2" s="12"/>
      <c r="G2" s="12"/>
      <c r="H2" s="12"/>
      <c r="I2" s="15" t="s">
        <v>20</v>
      </c>
      <c r="J2" s="12"/>
    </row>
    <row r="3" spans="1:10" ht="30" customHeight="1" x14ac:dyDescent="0.25">
      <c r="A3" s="3" t="s">
        <v>21</v>
      </c>
      <c r="B3" s="3" t="s">
        <v>22</v>
      </c>
      <c r="C3" s="3" t="s">
        <v>23</v>
      </c>
      <c r="D3" s="3" t="s">
        <v>24</v>
      </c>
      <c r="E3" s="3" t="s">
        <v>25</v>
      </c>
      <c r="F3" s="3" t="s">
        <v>26</v>
      </c>
      <c r="G3" s="3" t="s">
        <v>27</v>
      </c>
      <c r="H3" s="3" t="s">
        <v>28</v>
      </c>
      <c r="I3" s="3" t="s">
        <v>29</v>
      </c>
      <c r="J3" s="3" t="s">
        <v>30</v>
      </c>
    </row>
    <row r="4" spans="1:10" ht="42" customHeight="1" x14ac:dyDescent="0.25">
      <c r="A4" s="4" t="s">
        <v>31</v>
      </c>
      <c r="B4" s="4" t="s">
        <v>32</v>
      </c>
      <c r="C4" s="4" t="s">
        <v>33</v>
      </c>
      <c r="D4" s="4" t="s">
        <v>34</v>
      </c>
      <c r="E4" s="4" t="s">
        <v>35</v>
      </c>
      <c r="F4" s="4" t="s">
        <v>36</v>
      </c>
      <c r="G4" s="4" t="s">
        <v>37</v>
      </c>
      <c r="H4" s="5" t="s">
        <v>38</v>
      </c>
      <c r="I4" s="4" t="s">
        <v>39</v>
      </c>
      <c r="J4" s="4"/>
    </row>
    <row r="5" spans="1:10" ht="42" customHeight="1" x14ac:dyDescent="0.25">
      <c r="A5" s="6" t="s">
        <v>40</v>
      </c>
      <c r="B5" s="6" t="s">
        <v>32</v>
      </c>
      <c r="C5" s="6" t="s">
        <v>41</v>
      </c>
      <c r="D5" s="6" t="s">
        <v>34</v>
      </c>
      <c r="E5" s="6" t="s">
        <v>35</v>
      </c>
      <c r="F5" s="6" t="s">
        <v>36</v>
      </c>
      <c r="G5" s="6" t="s">
        <v>42</v>
      </c>
      <c r="H5" s="5" t="s">
        <v>38</v>
      </c>
      <c r="I5" s="6" t="s">
        <v>39</v>
      </c>
      <c r="J5" s="6"/>
    </row>
    <row r="6" spans="1:10" ht="42" customHeight="1" x14ac:dyDescent="0.25">
      <c r="A6" s="4" t="s">
        <v>43</v>
      </c>
      <c r="B6" s="4" t="s">
        <v>32</v>
      </c>
      <c r="C6" s="4" t="s">
        <v>44</v>
      </c>
      <c r="D6" s="4" t="s">
        <v>34</v>
      </c>
      <c r="E6" s="4" t="s">
        <v>45</v>
      </c>
      <c r="F6" s="4" t="s">
        <v>46</v>
      </c>
      <c r="G6" s="4" t="s">
        <v>47</v>
      </c>
      <c r="H6" s="5" t="s">
        <v>38</v>
      </c>
      <c r="I6" s="4" t="s">
        <v>39</v>
      </c>
      <c r="J6" s="4"/>
    </row>
    <row r="7" spans="1:10" ht="42" customHeight="1" x14ac:dyDescent="0.25">
      <c r="A7" s="6" t="s">
        <v>48</v>
      </c>
      <c r="B7" s="6" t="s">
        <v>32</v>
      </c>
      <c r="C7" s="6" t="s">
        <v>49</v>
      </c>
      <c r="D7" s="6" t="s">
        <v>34</v>
      </c>
      <c r="E7" s="6" t="s">
        <v>45</v>
      </c>
      <c r="F7" s="6" t="s">
        <v>46</v>
      </c>
      <c r="G7" s="6" t="s">
        <v>50</v>
      </c>
      <c r="H7" s="5" t="s">
        <v>38</v>
      </c>
      <c r="I7" s="6" t="s">
        <v>39</v>
      </c>
      <c r="J7" s="6"/>
    </row>
    <row r="8" spans="1:10" ht="42" customHeight="1" x14ac:dyDescent="0.25">
      <c r="A8" s="4" t="s">
        <v>51</v>
      </c>
      <c r="B8" s="4" t="s">
        <v>32</v>
      </c>
      <c r="C8" s="4" t="s">
        <v>52</v>
      </c>
      <c r="D8" s="4" t="s">
        <v>34</v>
      </c>
      <c r="E8" s="4" t="s">
        <v>53</v>
      </c>
      <c r="F8" s="4" t="s">
        <v>54</v>
      </c>
      <c r="G8" s="4" t="s">
        <v>55</v>
      </c>
      <c r="H8" s="5" t="s">
        <v>38</v>
      </c>
      <c r="I8" s="4" t="s">
        <v>39</v>
      </c>
      <c r="J8" s="4" t="s">
        <v>56</v>
      </c>
    </row>
    <row r="9" spans="1:10" ht="42" customHeight="1" x14ac:dyDescent="0.25">
      <c r="A9" s="6" t="s">
        <v>57</v>
      </c>
      <c r="B9" s="6" t="s">
        <v>32</v>
      </c>
      <c r="C9" s="6" t="s">
        <v>58</v>
      </c>
      <c r="D9" s="6" t="s">
        <v>34</v>
      </c>
      <c r="E9" s="6" t="s">
        <v>35</v>
      </c>
      <c r="F9" s="6" t="s">
        <v>36</v>
      </c>
      <c r="G9" s="6" t="s">
        <v>59</v>
      </c>
      <c r="H9" s="7" t="s">
        <v>60</v>
      </c>
      <c r="I9" s="6" t="s">
        <v>39</v>
      </c>
      <c r="J9" s="6" t="s">
        <v>61</v>
      </c>
    </row>
    <row r="10" spans="1:10" ht="42" customHeight="1" x14ac:dyDescent="0.25">
      <c r="A10" s="4" t="s">
        <v>62</v>
      </c>
      <c r="B10" s="4" t="s">
        <v>32</v>
      </c>
      <c r="C10" s="4" t="s">
        <v>63</v>
      </c>
      <c r="D10" s="4" t="s">
        <v>64</v>
      </c>
      <c r="E10" s="4" t="s">
        <v>65</v>
      </c>
      <c r="F10" s="4" t="s">
        <v>66</v>
      </c>
      <c r="G10" s="4" t="s">
        <v>67</v>
      </c>
      <c r="H10" s="5" t="s">
        <v>38</v>
      </c>
      <c r="I10" s="4" t="s">
        <v>68</v>
      </c>
      <c r="J10" s="4" t="s">
        <v>69</v>
      </c>
    </row>
    <row r="11" spans="1:10" ht="42" customHeight="1" x14ac:dyDescent="0.25">
      <c r="A11" s="6" t="s">
        <v>70</v>
      </c>
      <c r="B11" s="6" t="s">
        <v>32</v>
      </c>
      <c r="C11" s="6" t="s">
        <v>71</v>
      </c>
      <c r="D11" s="6" t="s">
        <v>64</v>
      </c>
      <c r="E11" s="6"/>
      <c r="F11" s="6"/>
      <c r="G11" s="6"/>
      <c r="H11" s="8" t="s">
        <v>72</v>
      </c>
      <c r="I11" s="6" t="s">
        <v>73</v>
      </c>
      <c r="J11" s="6" t="s">
        <v>74</v>
      </c>
    </row>
    <row r="12" spans="1:10" ht="42" customHeight="1" x14ac:dyDescent="0.25">
      <c r="A12" s="4" t="s">
        <v>75</v>
      </c>
      <c r="B12" s="4" t="s">
        <v>32</v>
      </c>
      <c r="C12" s="4" t="s">
        <v>76</v>
      </c>
      <c r="D12" s="4" t="s">
        <v>64</v>
      </c>
      <c r="E12" s="4" t="s">
        <v>77</v>
      </c>
      <c r="F12" s="4" t="s">
        <v>78</v>
      </c>
      <c r="G12" s="4" t="s">
        <v>79</v>
      </c>
      <c r="H12" s="5" t="s">
        <v>38</v>
      </c>
      <c r="I12" s="4" t="s">
        <v>39</v>
      </c>
      <c r="J12" s="4"/>
    </row>
    <row r="13" spans="1:10" ht="42" customHeight="1" x14ac:dyDescent="0.25">
      <c r="A13" s="6" t="s">
        <v>80</v>
      </c>
      <c r="B13" s="6" t="s">
        <v>81</v>
      </c>
      <c r="C13" s="6" t="s">
        <v>82</v>
      </c>
      <c r="D13" s="6" t="s">
        <v>34</v>
      </c>
      <c r="E13" s="6" t="s">
        <v>53</v>
      </c>
      <c r="F13" s="6" t="s">
        <v>54</v>
      </c>
      <c r="G13" s="6" t="s">
        <v>83</v>
      </c>
      <c r="H13" s="7" t="s">
        <v>60</v>
      </c>
      <c r="I13" s="6" t="s">
        <v>39</v>
      </c>
      <c r="J13" s="6" t="s">
        <v>84</v>
      </c>
    </row>
    <row r="14" spans="1:10" ht="42" customHeight="1" x14ac:dyDescent="0.25">
      <c r="A14" s="4" t="s">
        <v>85</v>
      </c>
      <c r="B14" s="4" t="s">
        <v>81</v>
      </c>
      <c r="C14" s="4" t="s">
        <v>86</v>
      </c>
      <c r="D14" s="4" t="s">
        <v>34</v>
      </c>
      <c r="E14" s="4"/>
      <c r="F14" s="4"/>
      <c r="G14" s="4"/>
      <c r="H14" s="8" t="s">
        <v>72</v>
      </c>
      <c r="I14" s="4" t="s">
        <v>73</v>
      </c>
      <c r="J14" s="4" t="s">
        <v>87</v>
      </c>
    </row>
    <row r="15" spans="1:10" ht="42" customHeight="1" x14ac:dyDescent="0.25">
      <c r="A15" s="6" t="s">
        <v>88</v>
      </c>
      <c r="B15" s="6" t="s">
        <v>81</v>
      </c>
      <c r="C15" s="6" t="s">
        <v>89</v>
      </c>
      <c r="D15" s="6" t="s">
        <v>64</v>
      </c>
      <c r="E15" s="6"/>
      <c r="F15" s="6"/>
      <c r="G15" s="6"/>
      <c r="H15" s="8" t="s">
        <v>72</v>
      </c>
      <c r="I15" s="6" t="s">
        <v>73</v>
      </c>
      <c r="J15" s="6" t="s">
        <v>90</v>
      </c>
    </row>
  </sheetData>
  <autoFilter ref="A3:J200" xr:uid="{00000000-0009-0000-0000-000001000000}"/>
  <mergeCells count="4">
    <mergeCell ref="A1:J1"/>
    <mergeCell ref="E2:H2"/>
    <mergeCell ref="I2:J2"/>
    <mergeCell ref="A2:D2"/>
  </mergeCells>
  <dataValidations count="2">
    <dataValidation type="list" allowBlank="1" sqref="H4:H200" xr:uid="{00000000-0002-0000-0100-000000000000}">
      <formula1>"Cubierto,Parcialmente cubierto,No cubierto,No aplica al prototipo"</formula1>
    </dataValidation>
    <dataValidation type="list" allowBlank="1" sqref="I4:I200" xr:uid="{00000000-0002-0000-0100-000001000000}">
      <formula1>"Sí,No,—"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3"/>
  <sheetViews>
    <sheetView workbookViewId="0">
      <selection sqref="A1:D1"/>
    </sheetView>
  </sheetViews>
  <sheetFormatPr baseColWidth="10" defaultColWidth="9.140625" defaultRowHeight="15" x14ac:dyDescent="0.25"/>
  <cols>
    <col min="1" max="1" width="45" customWidth="1"/>
    <col min="2" max="2" width="20" customWidth="1"/>
  </cols>
  <sheetData>
    <row r="1" spans="1:4" ht="27.95" customHeight="1" x14ac:dyDescent="0.25">
      <c r="A1" s="17" t="s">
        <v>91</v>
      </c>
      <c r="B1" s="12"/>
      <c r="C1" s="12"/>
      <c r="D1" s="12"/>
    </row>
    <row r="3" spans="1:4" x14ac:dyDescent="0.25">
      <c r="A3" s="18" t="s">
        <v>92</v>
      </c>
      <c r="B3" s="12"/>
      <c r="C3" s="12"/>
      <c r="D3" s="12"/>
    </row>
    <row r="5" spans="1:4" x14ac:dyDescent="0.25">
      <c r="A5" s="9" t="s">
        <v>93</v>
      </c>
      <c r="B5" s="9" t="s">
        <v>94</v>
      </c>
    </row>
    <row r="6" spans="1:4" x14ac:dyDescent="0.25">
      <c r="A6" s="10" t="s">
        <v>95</v>
      </c>
      <c r="B6" s="10">
        <f>COUNTA(Trazabilidad!A4:A200)-COUNTBLANK(Trazabilidad!A4:A200)</f>
        <v>-173</v>
      </c>
    </row>
    <row r="7" spans="1:4" x14ac:dyDescent="0.25">
      <c r="A7" s="10" t="s">
        <v>96</v>
      </c>
      <c r="B7" s="10">
        <f>COUNTIF(Trazabilidad!H4:H200,"Cubierto")</f>
        <v>7</v>
      </c>
    </row>
    <row r="8" spans="1:4" x14ac:dyDescent="0.25">
      <c r="A8" s="10" t="s">
        <v>97</v>
      </c>
      <c r="B8" s="10">
        <f>COUNTIF(Trazabilidad!H4:H200,"Parcialmente cubierto")</f>
        <v>2</v>
      </c>
    </row>
    <row r="9" spans="1:4" x14ac:dyDescent="0.25">
      <c r="A9" s="10" t="s">
        <v>98</v>
      </c>
      <c r="B9" s="10">
        <f>COUNTIF(Trazabilidad!H4:H200,"No cubierto")</f>
        <v>0</v>
      </c>
    </row>
    <row r="10" spans="1:4" x14ac:dyDescent="0.25">
      <c r="A10" s="10" t="s">
        <v>99</v>
      </c>
      <c r="B10" s="10">
        <f>COUNTIF(Trazabilidad!H4:H200,"No aplica al prototipo")</f>
        <v>3</v>
      </c>
    </row>
    <row r="12" spans="1:4" x14ac:dyDescent="0.25">
      <c r="A12" s="10" t="s">
        <v>100</v>
      </c>
      <c r="B12" s="10">
        <f>COUNTIF(Trazabilidad!I4:I200,"Sí")</f>
        <v>8</v>
      </c>
    </row>
    <row r="13" spans="1:4" x14ac:dyDescent="0.25">
      <c r="A13" s="10" t="s">
        <v>101</v>
      </c>
      <c r="B13" s="10">
        <f>COUNTIF(Trazabilidad!I4:I200,"No")</f>
        <v>1</v>
      </c>
    </row>
  </sheetData>
  <mergeCells count="2">
    <mergeCell ref="A1:D1"/>
    <mergeCell ref="A3:D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Instrucciones</vt:lpstr>
      <vt:lpstr>Trazabilidad</vt:lpstr>
      <vt:lpstr>Resumen Cobertura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CARLOS ARGELIO AREVALO MERCADO</cp:lastModifiedBy>
  <dcterms:created xsi:type="dcterms:W3CDTF">2026-05-28T16:50:59Z</dcterms:created>
  <dcterms:modified xsi:type="dcterms:W3CDTF">2026-05-28T17:43:46Z</dcterms:modified>
</cp:coreProperties>
</file>